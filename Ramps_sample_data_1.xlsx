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namedSheetViews/namedSheetView2.xml" ContentType="application/vnd.ms-excel.namedsheetview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facade-my.sharepoint.com/personal/andrew_gerges_meinhardtgroup_com/Documents/"/>
    </mc:Choice>
  </mc:AlternateContent>
  <xr:revisionPtr revIDLastSave="0" documentId="8_{F6196111-60EF-471A-8C6D-EF0E306C9C81}" xr6:coauthVersionLast="47" xr6:coauthVersionMax="47" xr10:uidLastSave="{00000000-0000-0000-0000-000000000000}"/>
  <bookViews>
    <workbookView xWindow="-28920" yWindow="-120" windowWidth="29040" windowHeight="15840" xr2:uid="{DC37BC5D-EEC3-4841-85D9-F4BB6128E786}"/>
  </bookViews>
  <sheets>
    <sheet name="Projects" sheetId="1" r:id="rId1"/>
    <sheet name="Status" sheetId="2" r:id="rId2"/>
  </sheets>
  <externalReferences>
    <externalReference r:id="rId3"/>
    <externalReference r:id="rId4"/>
    <externalReference r:id="rId5"/>
    <externalReference r:id="rId6"/>
  </externalReferences>
  <definedNames>
    <definedName name="_xlnm._FilterDatabase" localSheetId="0" hidden="1">Projects!$B$3:$L$122</definedName>
    <definedName name="_xlnm._FilterDatabase" localSheetId="1" hidden="1">Status!$B$4:$AD$116</definedName>
    <definedName name="Milestones1" localSheetId="1">[3]Data!$I$3</definedName>
    <definedName name="Milestones1">[1]Data!$I$3</definedName>
    <definedName name="Milestones2" localSheetId="1">[3]Data!$I$4</definedName>
    <definedName name="Milestones2">[1]Data!$I$4</definedName>
    <definedName name="Milestones3" localSheetId="1">[3]Data!$I$5</definedName>
    <definedName name="Milestones3">[1]Data!$I$5</definedName>
    <definedName name="Milestones4" localSheetId="1">[3]Data!$I$6</definedName>
    <definedName name="Milestones4">[1]Data!$I$6</definedName>
    <definedName name="Milestones5" localSheetId="1">[3]Data!$I$7</definedName>
    <definedName name="Milestones5">[1]Data!$I$7</definedName>
    <definedName name="Milestones6" localSheetId="1">[3]Data!$I$8</definedName>
    <definedName name="Milestones6">[1]Data!$I$8</definedName>
    <definedName name="Milestones7" localSheetId="1">[3]Data!$I$9</definedName>
    <definedName name="Milestones7">[1]Data!$I$9</definedName>
    <definedName name="StartHerePC1" localSheetId="0">Projects!#REF!</definedName>
    <definedName name="StartHerePC1" localSheetId="1">Status!#REF!</definedName>
    <definedName name="StartHerePC2" localSheetId="0">Projects!#REF!</definedName>
    <definedName name="StartHerePC2" localSheetId="1">Status!#REF!</definedName>
    <definedName name="StartHerePC3" localSheetId="0">Projects!#REF!</definedName>
    <definedName name="StartHerePC3" localSheetId="1">Status!#REF!</definedName>
    <definedName name="StartHerePC4" localSheetId="0">Projects!#REF!</definedName>
    <definedName name="StartHerePC4" localSheetId="1">Status!#REF!</definedName>
    <definedName name="Tolerance" localSheetId="1">[4]Data!$C$2</definedName>
    <definedName name="Tolerance">[2]Data!$C$2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3" i="1" l="1"/>
  <c r="O2" i="2"/>
  <c r="O3" i="2" s="1"/>
  <c r="N2" i="2"/>
  <c r="N3" i="2" s="1"/>
  <c r="J2" i="2"/>
  <c r="J3" i="2" s="1"/>
  <c r="C2" i="2"/>
  <c r="R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tc={7A37E550-AF4A-4A02-8FBF-8936CC4C3226}</author>
    <author>tc={364C35E6-8552-413C-B77F-A9D1B7E5BD16}</author>
    <author>Aaron Rice</author>
  </authors>
  <commentList>
    <comment ref="N3" authorId="0" shapeId="0" xr:uid="{7A37E550-AF4A-4A02-8FBF-8936CC4C3226}">
      <text>
        <t>[Threaded comment]
Your version of Excel allows you to read this threaded comment; however, any edits to it will get removed if the file is opened in a newer version of Excel. Learn more: https://go.microsoft.com/fwlink/?linkid=870924
Comment:
    Auto generated, 6months from Construction Complete</t>
      </text>
    </comment>
    <comment ref="O3" authorId="1" shapeId="0" xr:uid="{364C35E6-8552-413C-B77F-A9D1B7E5BD16}">
      <text>
        <t>[Threaded comment]
Your version of Excel allows you to read this threaded comment; however, any edits to it will get removed if the file is opened in a newer version of Excel. Learn more: https://go.microsoft.com/fwlink/?linkid=870924
Comment:
    Auto generated, 3months from DLP Complete</t>
      </text>
    </comment>
    <comment ref="Q70" authorId="2" shapeId="0" xr:uid="{BC2D5E43-CE0D-4E77-8066-470138C571CA}">
      <text>
        <r>
          <rPr>
            <sz val="11"/>
            <color theme="1"/>
            <rFont val="Calibri"/>
            <family val="2"/>
            <scheme val="minor"/>
          </rPr>
          <t xml:space="preserve">Aaron Rice:
Extra Ramp access approved for addition.
</t>
        </r>
      </text>
    </comment>
    <comment ref="R70" authorId="2" shapeId="0" xr:uid="{1B6741EF-01FB-4DF4-8050-AF4C67A8EC92}">
      <text>
        <r>
          <rPr>
            <sz val="11"/>
            <color theme="1"/>
            <rFont val="Calibri"/>
            <family val="2"/>
            <scheme val="minor"/>
          </rPr>
          <t xml:space="preserve">Aaron Rice:
Extra Ramp access approved for addition.
</t>
        </r>
      </text>
    </comment>
    <comment ref="Q106" authorId="2" shapeId="0" xr:uid="{2552F7B0-E583-4330-99F0-2A23D4265542}">
      <text>
        <r>
          <rPr>
            <sz val="11"/>
            <color theme="1"/>
            <rFont val="Calibri"/>
            <family val="2"/>
            <scheme val="minor"/>
          </rPr>
          <t>Aaron Rice:
RAMPS and RFE works to be included. Approx total estimated values total $1.7m</t>
        </r>
      </text>
    </comment>
    <comment ref="R106" authorId="2" shapeId="0" xr:uid="{7C427727-96F2-4C5D-BC36-28731F9F8052}">
      <text>
        <r>
          <rPr>
            <sz val="11"/>
            <color theme="1"/>
            <rFont val="Calibri"/>
            <family val="2"/>
            <scheme val="minor"/>
          </rPr>
          <t>Aaron Rice:
RAMPS and RFE works to be included. Approx total estimated values total $1.7m</t>
        </r>
      </text>
    </comment>
  </commentList>
</comments>
</file>

<file path=xl/sharedStrings.xml><?xml version="1.0" encoding="utf-8"?>
<sst xmlns="http://schemas.openxmlformats.org/spreadsheetml/2006/main" count="2319" uniqueCount="540">
  <si>
    <t>iTWOcx Funding Package</t>
  </si>
  <si>
    <t>School Name</t>
  </si>
  <si>
    <t>School No</t>
  </si>
  <si>
    <t>Final PNN</t>
  </si>
  <si>
    <t>Region Name</t>
  </si>
  <si>
    <t>Bundle ID</t>
  </si>
  <si>
    <t>Comments</t>
  </si>
  <si>
    <t>2023-24_FYQ2_CYQ4_W40-52</t>
  </si>
  <si>
    <t>Albert Park College</t>
  </si>
  <si>
    <t>8889_07</t>
  </si>
  <si>
    <t>SEV</t>
  </si>
  <si>
    <t>PMP_OPO_Nov'23Bundle 22</t>
  </si>
  <si>
    <t>Spaces Pty Ltd</t>
  </si>
  <si>
    <t>Alberton Primary School</t>
  </si>
  <si>
    <t>0001_05</t>
  </si>
  <si>
    <t>PMP_OPO_Nov'23Bundle 21</t>
  </si>
  <si>
    <t>Alkira Secondary College</t>
  </si>
  <si>
    <t>8874_04</t>
  </si>
  <si>
    <t>PMP_OPO_Nov'23Bundle 10</t>
  </si>
  <si>
    <t>1:1 Architects</t>
  </si>
  <si>
    <t>Altona Green Primary School</t>
  </si>
  <si>
    <t>5287_06</t>
  </si>
  <si>
    <t>SWV</t>
  </si>
  <si>
    <t>PMP_OPO_Nov'23Bundle 12</t>
  </si>
  <si>
    <t>Altona North Primary School</t>
  </si>
  <si>
    <t>4931_06</t>
  </si>
  <si>
    <t>Ararat Primary School</t>
  </si>
  <si>
    <t>0800_06</t>
  </si>
  <si>
    <t>PMP_OPO_Nov'23Bundle 17</t>
  </si>
  <si>
    <t>Himmelzimmer Pty Ltd</t>
  </si>
  <si>
    <t>Ardeer Primary School</t>
  </si>
  <si>
    <t>4848_06</t>
  </si>
  <si>
    <t>PMP_OPO_Nov'23Bundle 11</t>
  </si>
  <si>
    <t>Bacchus Marsh College</t>
  </si>
  <si>
    <t>8777_09</t>
  </si>
  <si>
    <t>PMP_OPO_Nov'23Bundle 16</t>
  </si>
  <si>
    <t>JMA Architects</t>
  </si>
  <si>
    <t>Bairnsdale Secondary College</t>
  </si>
  <si>
    <t>8466_13</t>
  </si>
  <si>
    <t>PMP_OPO_Nov'23Bundle 20</t>
  </si>
  <si>
    <t>Barton Primary School</t>
  </si>
  <si>
    <t>5560_03</t>
  </si>
  <si>
    <t>Beaumaris North Primary School</t>
  </si>
  <si>
    <t>4803_08</t>
  </si>
  <si>
    <t>PMP_OPO_Nov'23Bundle 14</t>
  </si>
  <si>
    <t>Henderson and Lodge</t>
  </si>
  <si>
    <t>Bellbrae Primary School</t>
  </si>
  <si>
    <t>0319_10</t>
  </si>
  <si>
    <t>Berwick Secondary College</t>
  </si>
  <si>
    <t>7603_08</t>
  </si>
  <si>
    <t>PMP_OPO_Nov'23Bundle 19</t>
  </si>
  <si>
    <t>Buckley Park College</t>
  </si>
  <si>
    <t>7670_04</t>
  </si>
  <si>
    <t>Canadian Lead Primary School</t>
  </si>
  <si>
    <t>5383_05</t>
  </si>
  <si>
    <t>PMP_OPO_Nov'23Bundle 13</t>
  </si>
  <si>
    <t>Carnegie Primary School</t>
  </si>
  <si>
    <t>2897_09</t>
  </si>
  <si>
    <t>Carwatha College P-12</t>
  </si>
  <si>
    <t>5435_08</t>
  </si>
  <si>
    <t>Chelsea Heights Primary School</t>
  </si>
  <si>
    <t>3341_09</t>
  </si>
  <si>
    <t>PMP_OPO_Nov'23Bundle 18</t>
  </si>
  <si>
    <t>Chilwell Primary School</t>
  </si>
  <si>
    <t>2061_08</t>
  </si>
  <si>
    <t>Clayton South Primary School</t>
  </si>
  <si>
    <t>4384_06</t>
  </si>
  <si>
    <t>Clyde Primary School</t>
  </si>
  <si>
    <t>3664_08</t>
  </si>
  <si>
    <t>Coburn Primary School</t>
  </si>
  <si>
    <t>5090_04</t>
  </si>
  <si>
    <t>Colac Secondary College</t>
  </si>
  <si>
    <t>8864_05</t>
  </si>
  <si>
    <t>Cranbourne Carlisle Primary School</t>
  </si>
  <si>
    <t>5510_03</t>
  </si>
  <si>
    <t>Cranbourne East Primary School</t>
  </si>
  <si>
    <t>5518_03</t>
  </si>
  <si>
    <t>Crib Point Primary School</t>
  </si>
  <si>
    <t>3080_05</t>
  </si>
  <si>
    <t>PMP_OPO_Nov'23Bundle 15</t>
  </si>
  <si>
    <t>Dandenong West Primary School</t>
  </si>
  <si>
    <t>4217_07</t>
  </si>
  <si>
    <t>Dromana Primary School</t>
  </si>
  <si>
    <t>0184_08</t>
  </si>
  <si>
    <t>Drouin West Primary School</t>
  </si>
  <si>
    <t>1417_08</t>
  </si>
  <si>
    <t>Eagle Point Primary School</t>
  </si>
  <si>
    <t>3215_07</t>
  </si>
  <si>
    <t>Edithvale Primary School</t>
  </si>
  <si>
    <t>3790_05</t>
  </si>
  <si>
    <t>Elwood Primary School</t>
  </si>
  <si>
    <t>3942_06</t>
  </si>
  <si>
    <t>Footscray Primary School</t>
  </si>
  <si>
    <t>0253_06</t>
  </si>
  <si>
    <t>Gleneagles Secondary College</t>
  </si>
  <si>
    <t>8869_06</t>
  </si>
  <si>
    <t>Grovedale West Primary School</t>
  </si>
  <si>
    <t>5076_07</t>
  </si>
  <si>
    <t>Haddon Primary School</t>
  </si>
  <si>
    <t>1076_07</t>
  </si>
  <si>
    <t>Hamlyn Banks Primary School</t>
  </si>
  <si>
    <t>4804_11</t>
  </si>
  <si>
    <t>Hastings Primary School</t>
  </si>
  <si>
    <t>1098_07</t>
  </si>
  <si>
    <t>Hopetoun P-12 College</t>
  </si>
  <si>
    <t>8904_15</t>
  </si>
  <si>
    <t>Horsham West and Haven Primary School</t>
  </si>
  <si>
    <t>4697_09</t>
  </si>
  <si>
    <t>Inverleigh Primary School</t>
  </si>
  <si>
    <t>1147_06</t>
  </si>
  <si>
    <t>Inverloch Primary School</t>
  </si>
  <si>
    <t>2776_05</t>
  </si>
  <si>
    <t>Keilor Primary School</t>
  </si>
  <si>
    <t>1578_04</t>
  </si>
  <si>
    <t>Kensington Community High School</t>
  </si>
  <si>
    <t>7947_05</t>
  </si>
  <si>
    <t>Kingsley Park Primary School</t>
  </si>
  <si>
    <t>5135_06</t>
  </si>
  <si>
    <t>Kurnai College</t>
  </si>
  <si>
    <t>8716_13</t>
  </si>
  <si>
    <t>Kurunjang Primary School</t>
  </si>
  <si>
    <t>5256_08</t>
  </si>
  <si>
    <t>Lakeview Senior College</t>
  </si>
  <si>
    <t>8910_05</t>
  </si>
  <si>
    <t>Langwarrin Park Primary School</t>
  </si>
  <si>
    <t>5257_07</t>
  </si>
  <si>
    <t>Langwarrin Primary School</t>
  </si>
  <si>
    <t>3531_04</t>
  </si>
  <si>
    <t>Lara Lake Primary School</t>
  </si>
  <si>
    <t>0769_09</t>
  </si>
  <si>
    <t>Lardner and District Primary School</t>
  </si>
  <si>
    <t>5393_05</t>
  </si>
  <si>
    <t>Lindenow Primary School</t>
  </si>
  <si>
    <t>1120_07</t>
  </si>
  <si>
    <t>Lucknow Primary School</t>
  </si>
  <si>
    <t>1231_05</t>
  </si>
  <si>
    <t>Lyndhurst Primary School</t>
  </si>
  <si>
    <t>5521_03</t>
  </si>
  <si>
    <t>Lyndhurst Secondary College</t>
  </si>
  <si>
    <t>7108_06</t>
  </si>
  <si>
    <t>Malvern Central School</t>
  </si>
  <si>
    <t>1604_05</t>
  </si>
  <si>
    <t>Malvern Primary School</t>
  </si>
  <si>
    <t>2586_06</t>
  </si>
  <si>
    <t>Malvern Valley Primary School</t>
  </si>
  <si>
    <t>4669_06</t>
  </si>
  <si>
    <t>Maribyrnong Secondary College</t>
  </si>
  <si>
    <t>8015_09</t>
  </si>
  <si>
    <t>Melton Primary School</t>
  </si>
  <si>
    <t>0430_06</t>
  </si>
  <si>
    <t>Mentone Girls Secondary College</t>
  </si>
  <si>
    <t>8030_07</t>
  </si>
  <si>
    <t>Mentone Park Primary School</t>
  </si>
  <si>
    <t>4955_08</t>
  </si>
  <si>
    <t>Miners Rest Primary School</t>
  </si>
  <si>
    <t>1739_07</t>
  </si>
  <si>
    <t>Mirboo North Secondary College</t>
  </si>
  <si>
    <t>8050_06</t>
  </si>
  <si>
    <t>Moorooduc Primary School</t>
  </si>
  <si>
    <t>2327_07</t>
  </si>
  <si>
    <t>Moriac Primary School</t>
  </si>
  <si>
    <t>4117_07</t>
  </si>
  <si>
    <t>Morwell Central Primary School</t>
  </si>
  <si>
    <t>5568_04</t>
  </si>
  <si>
    <t>Morwell Park Primary School</t>
  </si>
  <si>
    <t>4975_07</t>
  </si>
  <si>
    <t>Mossgiel Park Primary School</t>
  </si>
  <si>
    <t>5205_07</t>
  </si>
  <si>
    <t>Mount Clear Primary School</t>
  </si>
  <si>
    <t>0427_06</t>
  </si>
  <si>
    <t>Mount Eliza Secondary College</t>
  </si>
  <si>
    <t>8102_07</t>
  </si>
  <si>
    <t>Nar Nar Goon Primary School</t>
  </si>
  <si>
    <t>2248_07</t>
  </si>
  <si>
    <t>Newington Primary School</t>
  </si>
  <si>
    <t>2103_07</t>
  </si>
  <si>
    <t>Niddrie Primary School</t>
  </si>
  <si>
    <t>5410_08</t>
  </si>
  <si>
    <t>Nossal High School</t>
  </si>
  <si>
    <t>8865_05</t>
  </si>
  <si>
    <t>Overport Primary School</t>
  </si>
  <si>
    <t>4780_05</t>
  </si>
  <si>
    <t>Pakenham Lakeside Primary School</t>
  </si>
  <si>
    <t>5504_05</t>
  </si>
  <si>
    <t>Parktone Primary School</t>
  </si>
  <si>
    <t>4843_06</t>
  </si>
  <si>
    <t>Parkwood Green Primary School</t>
  </si>
  <si>
    <t>5480_06</t>
  </si>
  <si>
    <t>Patterson River Secondary College</t>
  </si>
  <si>
    <t>8725_12</t>
  </si>
  <si>
    <t>Pentland Primary School</t>
  </si>
  <si>
    <t>5369_04</t>
  </si>
  <si>
    <t>Point Cook Senior Secondary College</t>
  </si>
  <si>
    <t>8847_06</t>
  </si>
  <si>
    <t>Portland North Primary School</t>
  </si>
  <si>
    <t>1194_07</t>
  </si>
  <si>
    <t>Portland Primary School</t>
  </si>
  <si>
    <t>0489_06</t>
  </si>
  <si>
    <t>Roslyn Primary School</t>
  </si>
  <si>
    <t>4663_06</t>
  </si>
  <si>
    <t>Sandringham Primary School</t>
  </si>
  <si>
    <t>0267_07</t>
  </si>
  <si>
    <t>Somerville Secondary College</t>
  </si>
  <si>
    <t>8875_07</t>
  </si>
  <si>
    <t>Sorrento Primary School</t>
  </si>
  <si>
    <t>1090_04</t>
  </si>
  <si>
    <t>Springside Primary School</t>
  </si>
  <si>
    <t>8911_04</t>
  </si>
  <si>
    <t>St Albans East Primary School</t>
  </si>
  <si>
    <t>4741_07</t>
  </si>
  <si>
    <t>St Arnaud Primary School</t>
  </si>
  <si>
    <t>1646_04</t>
  </si>
  <si>
    <t>Hazardous Materials. December Holidays works commence 6th January 2026. program pending from Domain.</t>
  </si>
  <si>
    <t>Tarneit Senior College</t>
  </si>
  <si>
    <t>8854_07</t>
  </si>
  <si>
    <t>Teesdale Primary School</t>
  </si>
  <si>
    <t>2065_08</t>
  </si>
  <si>
    <t>Timbarra P-9 College</t>
  </si>
  <si>
    <t>5479_08</t>
  </si>
  <si>
    <t>Toolern Vale and District Primary School</t>
  </si>
  <si>
    <t>5414_08</t>
  </si>
  <si>
    <t>Toorak Primary School</t>
  </si>
  <si>
    <t>3016_05</t>
  </si>
  <si>
    <t>Toorloo Arm Primary School</t>
  </si>
  <si>
    <t>3968_07</t>
  </si>
  <si>
    <t>Traralgon (Liddiard Road) Primary School</t>
  </si>
  <si>
    <t>4700_08</t>
  </si>
  <si>
    <t>Traralgon College (Ramps)</t>
  </si>
  <si>
    <t>8803_07</t>
  </si>
  <si>
    <t>2023-24_FYQ2_CYQ4_W40-53</t>
  </si>
  <si>
    <t>Traralgon College (RFE)</t>
  </si>
  <si>
    <t>8803_08</t>
  </si>
  <si>
    <t>Tulliallan Primary School</t>
  </si>
  <si>
    <t>5553_03</t>
  </si>
  <si>
    <t>University High School</t>
  </si>
  <si>
    <t>8405_06</t>
  </si>
  <si>
    <t>Warragul Regional College</t>
  </si>
  <si>
    <t>8827_07</t>
  </si>
  <si>
    <t>Wendouree Primary School</t>
  </si>
  <si>
    <t>1813_04</t>
  </si>
  <si>
    <t>Werribee Primary School</t>
  </si>
  <si>
    <t>0649_07</t>
  </si>
  <si>
    <t>Westall Secondary College</t>
  </si>
  <si>
    <t>8470_10</t>
  </si>
  <si>
    <t>Williamstown High School</t>
  </si>
  <si>
    <t>8475_10</t>
  </si>
  <si>
    <t>Woodlands Primary School</t>
  </si>
  <si>
    <t>5319_08</t>
  </si>
  <si>
    <t>Wyndham Vale Primary School</t>
  </si>
  <si>
    <t>5549_05</t>
  </si>
  <si>
    <t>Yarraman Oaks Primary School</t>
  </si>
  <si>
    <t>4807_06</t>
  </si>
  <si>
    <t>Yuille Park P-8 Community College</t>
  </si>
  <si>
    <t>5520_04</t>
  </si>
  <si>
    <t>Total Schools</t>
  </si>
  <si>
    <t>Count</t>
  </si>
  <si>
    <t>Progress</t>
  </si>
  <si>
    <t xml:space="preserve"> </t>
  </si>
  <si>
    <t>PDC</t>
  </si>
  <si>
    <t>Contractor</t>
  </si>
  <si>
    <t>Last Milestone Achieved</t>
  </si>
  <si>
    <t>Construction Complete (Forecast / Actual)</t>
  </si>
  <si>
    <t>Defects Closed</t>
  </si>
  <si>
    <t>CFI Achieved</t>
  </si>
  <si>
    <t>School Signoff</t>
  </si>
  <si>
    <t>Practical Completion (Workflow Closed)</t>
  </si>
  <si>
    <t>Final Completion / DLP</t>
  </si>
  <si>
    <t>Sky 50</t>
  </si>
  <si>
    <t>sent by 27/02</t>
  </si>
  <si>
    <t>Sent by
(week 13/2)</t>
  </si>
  <si>
    <t>Sent by 06/02</t>
  </si>
  <si>
    <t>Sent by
30 / 01 comments</t>
  </si>
  <si>
    <t>Sent by 30/01</t>
  </si>
  <si>
    <t>Sent by 23/01</t>
  </si>
  <si>
    <t>Sent by 16/01</t>
  </si>
  <si>
    <t>Sent by 9/01</t>
  </si>
  <si>
    <t>Sent by 19/12</t>
  </si>
  <si>
    <t>Comments 16 / 01</t>
  </si>
  <si>
    <t>Priority ?</t>
  </si>
  <si>
    <t>to</t>
  </si>
  <si>
    <t>cc</t>
  </si>
  <si>
    <t>Construction Complete</t>
  </si>
  <si>
    <t>Complete 14/06/2024</t>
  </si>
  <si>
    <t>Closed for Comms</t>
  </si>
  <si>
    <t>NA</t>
  </si>
  <si>
    <t>Complete 26/06/2024</t>
  </si>
  <si>
    <t>Chippa</t>
  </si>
  <si>
    <t>Complete 11/12/2025</t>
  </si>
  <si>
    <t>19/01/2026</t>
  </si>
  <si>
    <t>Works completed with CFI issued 11/12/2025 with documentation, sign off and handover expected Janaury 2026.</t>
  </si>
  <si>
    <t>Yes</t>
  </si>
  <si>
    <t>works completed as per john spronget email. sign off and site walk to be arranged.
AG (wrong school. Signoff received awaiting workflow closeout. No comms to school)</t>
  </si>
  <si>
    <t>Andrew - Final</t>
  </si>
  <si>
    <t>Joey</t>
  </si>
  <si>
    <t>Andrew</t>
  </si>
  <si>
    <t>Aaron</t>
  </si>
  <si>
    <t>john.shaw@education.vic.gov.au, Dale.Robb@education.vic.gov.au, bernard.gibney2@education.vic.gov.au</t>
  </si>
  <si>
    <t>eileen.box@education.vic.gov.au</t>
  </si>
  <si>
    <t>Hum</t>
  </si>
  <si>
    <t>no</t>
  </si>
  <si>
    <t xml:space="preserve">Hum 1:1 Defects with handrails require 1000mm width. January 2027
Final sign off by RBS required - modifications to the handrail required. LIkely next week 
Ramps accessible  before start of school term
29/01 - CFI achieved, school signoff to be scheduled with PDC (targeting Mon 2 Feb)
05/02 - Outstanding defects. HUM to close workflow
12/02 - Outstanding defects, no progress.
26/02 - Defect rectification on site from tmr
</t>
  </si>
  <si>
    <t>PDC visiting next week to review works and seek school sign off.</t>
  </si>
  <si>
    <t>Hum going out onsite to measure actuals/clearances and work with PDC.</t>
  </si>
  <si>
    <t>David.King@education.vic.gov.au</t>
  </si>
  <si>
    <t>Hum 1:1 Inspection failed due to changer of foundation by Hum. January 2027
Ramp 3 - planter box to be provided
Ramp 2 - Gate issues. measurement provided to manufacturer. LIkely won't be an issue with the CFI
Ramps in use
29/01 - Louise said all outstanding issues have a way forward (handrail clearance been re-measured, break in handrail on inner bend, purchase of planter boxes (school acceptance to be sought prior to purchse, cyclone gate installation and design with lower level clarified. Gate install end Feb, other mods done prior. HUM to provide program.
5/02 - Waiting for shop drawings from supplier, wants to get that approved by school first.  Handrails next week. Ashphalt rectification after the fence.
12/02 - No progress Ramp 2, still waiting on shop drawing. Little defects remaining, nothing done yet.
26/02 - Moddex visiting tmr, Awaiting confirmation of dates for gate install (tmr)</t>
  </si>
  <si>
    <t>Hum have advised they are looking to close out the minor defects next week. however the fencing and gate will need to be ordered and may have a lead time of 2-4 weeks just for the gate. Additionally, the planter boxes will need to be costed by Hum so we can provide those as per the concersation and request with the school.</t>
  </si>
  <si>
    <t>Ramp 2 gate handrail 1m clearance, school wants planter boxes to reduce glare from new ramp, sharp kickrail edges, Cyclone gate design with lower level ambiguous.
Hum going out onsite to measure actuals/clearances and work with PDC.</t>
  </si>
  <si>
    <t>Problem - 60th Anniversary, etc</t>
  </si>
  <si>
    <t>Lee.Blunt@education.vic.gov.au; Robyn.Gregson@education.vic.gov.au</t>
  </si>
  <si>
    <t>Practical Completion</t>
  </si>
  <si>
    <t>Complete 20/10/2025</t>
  </si>
  <si>
    <t>yes</t>
  </si>
  <si>
    <t>Complete 4/06/2024</t>
  </si>
  <si>
    <t>Complete 29/10/2025</t>
  </si>
  <si>
    <t>*</t>
  </si>
  <si>
    <t>Pattersons</t>
  </si>
  <si>
    <t>No</t>
  </si>
  <si>
    <t>RBS final inspection identified defects at Ramps 3, 5, 16 and 20. Ramp 5 &amp; 16 to be rectified 
28/01 - Inspection done but BS won't issue CFI - waiting on payment for additional inspections (in discussion with Pattersons &amp; Spaces). Defects still remain (no ETA yet)
4/02 - No change.  Pattersons won't pay BS. 10% construction value is still being held by PDC. (About 5 or 6 additional inspections done, BS wants to be paid for this).
4/03 - Still awaiting Pattersons to advise of delivery (from Alex) to fix defects. Andy and Dileep attended this site (see email)</t>
  </si>
  <si>
    <t>PDC - Ross</t>
  </si>
  <si>
    <t>Spaces are seeking to attend site to review the defects and school walk through. 4/02/2026</t>
  </si>
  <si>
    <t>Problem school</t>
  </si>
  <si>
    <t>clare.stone@education.vic.gov.au</t>
  </si>
  <si>
    <t>ross@spaces.com.au; micah@spaces.com.au</t>
  </si>
  <si>
    <t>Complete 12/12/2025</t>
  </si>
  <si>
    <t>GRN</t>
  </si>
  <si>
    <t xml:space="preserve">
CFI Paperwork expect Tues/Wed 21 Jan. RBS has now been paid
Defects inspection to be scheduled next week
GRN demob from site</t>
  </si>
  <si>
    <t>H&amp;L</t>
  </si>
  <si>
    <t>Works are completed and building surveyor has inspected with the CFI's expected iminently. H&amp;L Architects and GRN Builder will contact the school to arrange a site walk and ensure defects are completed. School sign off will be sought and 6 months DLP will apply to the works.</t>
  </si>
  <si>
    <t>Lee.Skaftouros@education.vic.gov.au; Nicola.Hajncl@education.vic.gov.au; angus.ross@education.vic.gov.au</t>
  </si>
  <si>
    <t>Complete 9/07/2025</t>
  </si>
  <si>
    <t>Agreed to get out RBS for CFI of all completed ramps asap to reduce distruption to school, ramp R4 &amp; likely R1 won't be done in time. Recently new Principal &amp; FM.
Ramp 1: Completion 04.02.26
•	Landing poured yesterday
•	Rubber ramp to be measured today (23.01.26) lead time 5-7 days manufacture. 4 Feb forecast
•	Install of temp ramp &amp; handrail, completed 29.01.2026 to allow access. Final
Ramp 4: ON HOLD. awaiting engineers' advice 29/01.
Balustrade been replaced but now all ramp is flexing &amp; could be unsafe, struc engineer to inspect 23/01. Handrails to be removed 
Ramp 7: Completion 29.01.2026
•	Asphalts poured, Bollard footings poured, Install of bollards &amp; line marking - Wednesday 28.01.2026 (now 2nd Feb)
Ramp 9: Completion 09.02.26 Carpentry to be book in conjunction with ramps 1 &amp; 7 as it's a day visit.
Ramp 10: Completion 09.02.26	Carpentry to be book in conjunction with ramps 1 &amp; 7 as it's a day visit.
Final Inspection on 10 Feb.
5/02 - Works finished except R4 end next week 13/02
26/02 - Carpentry done R1,4,7,10. R4 handrails removed and made good, R1 rubber done. R9 new issues. R10 Done. Awaiting updated modex shop drawings.  Maybe mid 15/03.</t>
  </si>
  <si>
    <t>Ramp 1 was attended to this week to ensure accessible to staff and student until the final hand rails and rubber ramp can be installed circa 4th February due to lead times. Ramp 4 has been assessed by the engineer. Ramp 7, 9 and 10 are scheuled to complete by HUM 2nd-9th February when all works should be completed.</t>
  </si>
  <si>
    <t>Ramp 4 balustrade removed, replaced, but ramp flexing &amp; unsafe. Change of principal &amp; FM.</t>
  </si>
  <si>
    <t>Sky very interested</t>
  </si>
  <si>
    <t>Millard@education.vic.gov.au; John.Inglis@education.vic.gov.au</t>
  </si>
  <si>
    <t>Pirotta</t>
  </si>
  <si>
    <t>Pirotta 1:1 Ramp 17 remaining handrails by Moddex by 23/01/2026
21/01 - Ramp 17 frame to be installed this week. Decking and cladding next week and nosing/handrails the following week. target completion 30 Jan. Final Inspection Jan 30
29/01 - Slipped by one week Ramp 17 (hot weather), ramp to complete this week, nosing next week.
5/02 - Cleanup next week, signoff next week.
26/02 - Seeking signoff on Mon 2/03</t>
  </si>
  <si>
    <t>Ramp 17 construction was due for completion 30/01/2026, extreme heat mayhave caused some delay, with the tactiles to be added 6th February as advised by Pirotta and followed by a site inspection, review and sign off.</t>
  </si>
  <si>
    <t>Cameron</t>
  </si>
  <si>
    <t>New school Principal</t>
  </si>
  <si>
    <t>tegan.knuckey@education.vic.gov.au, harold.cheung@education.vic.gov.au</t>
  </si>
  <si>
    <t>Pirotta 1:1 Ramp 3 23/01/2026 and Ramps 1 and 2 by 27th February 2026.
21/01 - Ramp 3 will commence 27-Janby Moddex. Ramp 1 &amp; 2 fabrication on-going. Potential delay for Ramp 1
29/01 - Ramp 3 starting today (hot weather delay).  R1&amp;2 shop design awaiting from Moddex, maybe Building Permit amendment. Forecast date 27/2 is likely at risk with R1&amp;2.
5/02 - Cameron/David/Grymbos plan to submit BP amendment this week.  Anticipate 2 weeks for approval, then commence onsite (say 1 after). In parallel moddex manufacture.  Say 2 weeks construct, 1 week moddex &amp; clean up (eta 20/03 for complete), CFI signoff probably week after.
12/02 - Ramp 3 frame approved, next week concrete, nosing &amp; temp fence.  R1&amp;2 still in shop drawings, manufacturing yet to start, building permit mod required.
26/02 - R3 delayed (probably 1week work).  R1&amp;2 Amended BP not achieved, need update from Pirotta, last PC date 20/3 very unlikely.</t>
  </si>
  <si>
    <t>As advised from Pirotta, Ramp 3 moddex intallation of handrails between 29/01/2026 to 13/02/2026. Ramp 1 and Ramp 2 are both pending final design with Moddex. forecast due date for completion of all ramps is 27/02/2026.</t>
  </si>
  <si>
    <t>Ramp 3 changed to commence 27/1 &amp; expected for about 2wks</t>
  </si>
  <si>
    <t>Clete.Smith@education.vic.gov.au; Christina.Drummond@education.vic.gov.au</t>
  </si>
  <si>
    <t>Complete 12/08/2025</t>
  </si>
  <si>
    <t>Bowdens</t>
  </si>
  <si>
    <t>27/01: Ramp 12 to be maintained. non-DDA accessible ramp sign, removable bollards and map showing alternate DDA access route to be installed. Transfer cost to Ramp 18 - school :endorsed
29/01 - Principal sent recent email, please review. Letter of Completion received from RBS (to Tim Meldrum).  Need school endorsement of re-design of Ramp 18 (school entrance access).
5/02 - Currently doing 17 forecasting completion 9/2, Ramp 18 still needs approval from VSBA (Dileep awaiting final costs (action with JMA).  Carpark disruption required for R18 construction, builder wants help/support from school. R24 needs approval (coupled with ramp 18 proximity), will be constructed together.
26/02 - Costings need reviews, much much higher than previous ramps done.</t>
  </si>
  <si>
    <t>Tim from JMA to respond to Patrick Mulcahy once Bowdens confirm. Patrick has signed off on the Ramp 18 design. Bowdens to finalise quote for approval. Works can commence as per a revised program to be provided by Bowdens. Canopy/posts works and Ramp 17 to progress next week. Engineer has advised the existing concrete footings are suitable for the new posts to replace the rotted ones.</t>
  </si>
  <si>
    <t>Final design package to go to Dileep for final costing. New construction manager Quentin Greystone</t>
  </si>
  <si>
    <t>Problem site</t>
  </si>
  <si>
    <t>patrick.mulcahy@education.vic.gov.au, john.webb3@education.vic.gov.au</t>
  </si>
  <si>
    <t>patrick@bowdencorp.com.au, duncan.lindsay@bowdencorp.com.au, yogev.keren@bowdencorp.com.au</t>
  </si>
  <si>
    <t>Ascots</t>
  </si>
  <si>
    <t>Issued</t>
  </si>
  <si>
    <t>DLP Period</t>
  </si>
  <si>
    <t>N/R</t>
  </si>
  <si>
    <t>PC Complete this week</t>
  </si>
  <si>
    <t>steven.capp@education.vic.gov.au</t>
  </si>
  <si>
    <t>Complete 6/08/2025</t>
  </si>
  <si>
    <t>Complete 9/07/2024</t>
  </si>
  <si>
    <t>Hum 1:1 Ramp 12 5/01/2026 but likely February PCC.
R10 CFI received
R12 - demo complete
29/01 - demo delayed (done yesterday). Concrete pour for today. Forecasting all done 20/2
2/02 - Louise advised of permit issue causing delay to concrete and carpentry. awaiting update
5/02 - Concrete pour forecast 14/02, hopefully all complete this same week. School unhappy with work during term - want weekday only.
12/02 - 27th forecast completion. Demo and concrete works not to happy during the week
26/02 - Demo complete, concrete pour tmr. 11/03 forecast completion, proposing walkthru on same day with school</t>
  </si>
  <si>
    <t>Only Ramp 12 works remaining, concrete pour was scheduled 29/01, handrails expected 16/02 and final inspection expected 20th Feb 2026.</t>
  </si>
  <si>
    <t>CFI Tues next week (R9)
R12 (demo this week, next week new ramp, complete 11 Feb). School notified of date "happy". David requested shop drawings from Moddex to review</t>
  </si>
  <si>
    <t>Cindy.Neilson@education.vic.gov.au</t>
  </si>
  <si>
    <t>Complete 15/07/2025</t>
  </si>
  <si>
    <t>Complete 18/12/2025</t>
  </si>
  <si>
    <t>Complete 22/04/2025</t>
  </si>
  <si>
    <t>PC Docs required
29/01 - No progress on paperwork, Tim to follow, still holding 10% payment</t>
  </si>
  <si>
    <t xml:space="preserve">JMA Architects to seek handover and completion documentation from Bowdens. </t>
  </si>
  <si>
    <t>Doc to close now</t>
  </si>
  <si>
    <t>Joshua.Bourke@education.vic.gov.au</t>
  </si>
  <si>
    <t>Complete 22/12/2025</t>
  </si>
  <si>
    <t>Awaiting VSBA to approve variations</t>
  </si>
  <si>
    <t>Complete 2/06/2025</t>
  </si>
  <si>
    <t>Insure Build</t>
  </si>
  <si>
    <t>Complete 2/12/2025</t>
  </si>
  <si>
    <t>30/01/2026</t>
  </si>
  <si>
    <t>Variation 4 canopy demolition Ramp 2
21/01 - CFI not received? School funded works have been completed?
22//01 - All ramps completed. JMA still awaiting confirmation from RBS on CFI. School request concreted/pavement works, builder quoted ~$20k, school agreed and works completed by builder but formal PO was not provded to builder from the school.  New principal not committing to funds despite email trail from previous principal. In dispute.
29/01 - No change</t>
  </si>
  <si>
    <t>Ramp 2 Canopy demo was completed. JMA Architects following up on additional school request for additional concrete to remove the uneven areas in the travel space. Please follwo up with Tim Meldrum JMA.</t>
  </si>
  <si>
    <t>Haley (previous principal) has left</t>
  </si>
  <si>
    <t>Complete 2/05/2025</t>
  </si>
  <si>
    <t>Complete 30/06/2025</t>
  </si>
  <si>
    <t>Domain National</t>
  </si>
  <si>
    <t>Complete 20/11/2025</t>
  </si>
  <si>
    <t>Complete 23/09/2025</t>
  </si>
  <si>
    <t>Complete 21/07/2025</t>
  </si>
  <si>
    <t>Complete 17/07/2025</t>
  </si>
  <si>
    <t>Complete 24/06/2024</t>
  </si>
  <si>
    <t>Ramp K - internal ramp balustrade  rectified
Ramp E - tactiles 
Defects inspection to be scheduled
CFI expected this week
29/01 - Matt (Principal) sent thru recent ESM non-compliant audit. Please check this</t>
  </si>
  <si>
    <t>Works are completed and building surveyor has inspected with the CFI's expected iminently. H&amp;L Architects and GRN Builder will contact the school to arrange a site walk and ensure defects are completed. School sign off will be sought and 6 months DLP will apply to the works. The ESM issue has been reviewed and the height appears compliant due to the levels being less than 1m fall risk and complies to the NCC. CFI  to be provided to close out same.</t>
  </si>
  <si>
    <t>gill.gray@education.vic.gov.au; Matthew.Brand@education.vic.gov.au</t>
  </si>
  <si>
    <t>Complete 10/07/2024</t>
  </si>
  <si>
    <t>Removed from program ???</t>
  </si>
  <si>
    <t>yes 30/01/2026</t>
  </si>
  <si>
    <t>Canopy Posts installed. Defects to be completed. Prior term 1 2026
29/01 - Anticipating School signoff end of this week (30/1)
12/02 - Principal not happy with stair nosing. HUM don't see any issue with the work at all. See photo email (Louise 12/2, nose caping).
26/02 - Going back tmr to secure screws</t>
  </si>
  <si>
    <t>Defects completed, we were advised the school is happy the defects have been attended to. 1:1 architects and HUM to seek school sign off acklowledgement. There is a six month DLP if any future defects arise in this time.</t>
  </si>
  <si>
    <t>Landscape slipping issues complete. Nosing for stairs outstanding (20 Jan for install). PCC end of month (School to signoff)
Expect CFI this week</t>
  </si>
  <si>
    <t>Wants updates</t>
  </si>
  <si>
    <t>thomas.goddard@education.vic.gov.au</t>
  </si>
  <si>
    <t>Complete 4/07/2024</t>
  </si>
  <si>
    <t>check 19/12/2025</t>
  </si>
  <si>
    <t>RBS inspection scheduled 21/01</t>
  </si>
  <si>
    <r>
      <rPr>
        <sz val="11"/>
        <color rgb="FF000000"/>
        <rFont val="Calibri"/>
        <family val="2"/>
        <scheme val="minor"/>
      </rPr>
      <t xml:space="preserve">Ramp A &amp; C - photo of rectification required. Stormwater issue raised by the principal
Ramp J - rails rectified and accepted 
Ramp F - Concreting works done.Handrails installed as per design and signed off by RBS. 
</t>
    </r>
    <r>
      <rPr>
        <sz val="11"/>
        <color rgb="FFFF0000"/>
        <rFont val="Calibri"/>
        <family val="2"/>
        <scheme val="minor"/>
      </rPr>
      <t xml:space="preserve">Ramp J - School request to modify handrail to pool access via footpath - H&amp;L advised ramp will need to be fully demolished and reconstructed to accomdate the request
</t>
    </r>
    <r>
      <rPr>
        <sz val="11"/>
        <color rgb="FF000000"/>
        <rFont val="Calibri"/>
        <family val="2"/>
        <scheme val="minor"/>
      </rPr>
      <t>Photo of tactiles required
Expect CFI this week</t>
    </r>
  </si>
  <si>
    <t>Works are completed and building surveyor has inspected with the CFI's expected iminently. H&amp;L Architects and GRN Builder will contact the school to arrange a site walk and ensure defects are completed. School sign off will be sought and 6 months DLP will apply to the works. The Architect will review the Ramp J and work through the school concerns and any additonal scope would need to be reviewed and approved by VSBA to be able to proceed. The ESM items will be assessed by the architect and confirmed with the building surveyor. Architect to coordinate with the school.</t>
  </si>
  <si>
    <t>JOey</t>
  </si>
  <si>
    <t>requested GRN</t>
  </si>
  <si>
    <t>close</t>
  </si>
  <si>
    <t>David.Geddes@education.vic.gov.au; debraanne.haddow@education.vic.gov.au</t>
  </si>
  <si>
    <t>Ramp C signed off by RBS. 
All ramps complete. 
Balustrade to Ramp L - school request still needs to be done. Will not affect CFI
Tactiles to ramps - photo to be provided to RBS
CFI expected this week</t>
  </si>
  <si>
    <t>With the installation of the balustrade this week, works are completed and building surveyor has inspected with the CFI's expected iminently. H&amp;L Architects and GRN Builder will contact the school to arrange a site walk and ensure defects are completed. School sign off will be sought and 6 months DLP will apply to the works.</t>
  </si>
  <si>
    <t>Monique.Corcoran@education.vic.gov.au; nicola.pepper@education.vic.gov.au; Rowan.Balzary@education.vic.gov.au; Angela.Stacey@education.vic.gov.au</t>
  </si>
  <si>
    <t>Complete 6/10/2025</t>
  </si>
  <si>
    <t>Complete 8/09/2025</t>
  </si>
  <si>
    <t>Complete 29/01/2026</t>
  </si>
  <si>
    <t>19/01FHR has been relocated, tactiles installed and carpet tiles adjusted. Grab rail to be re-installed this week
29/01- All complete</t>
  </si>
  <si>
    <t>All works scope has been completed as advised by Chippa Constructions. 1:! Architects to review for defects with the school and seek sign off acknowledgment. A six month DLP applies to works for any defect items that may occur in that period.</t>
  </si>
  <si>
    <t>Monique.Corcoran@education.vic.gov.au</t>
  </si>
  <si>
    <t>Complete 29/07/2025</t>
  </si>
  <si>
    <t>Complete 26/08/2025</t>
  </si>
  <si>
    <t>Johnslyng</t>
  </si>
  <si>
    <t>Complete</t>
  </si>
  <si>
    <t>yes 14/06/2026</t>
  </si>
  <si>
    <t xml:space="preserve">CFI done, awaiting School signoff. Hand Rails and Retaining Wall defects to rectify the week of the 19th January prior term 1 2026
17/01 - Contractor conifrmed works complete as of 16/01 but School not happy with completed works. Defects inspection to be scheduled next week. All ramps accessible
Dileep will not approve workflow until defects rectified
Ross (Spaces) advised defect walkthru with Principal scheduled for 30/1 </t>
  </si>
  <si>
    <t xml:space="preserve">Spaces architects attended the school 30/01/2026 and have advised that the school’s concerns with Ramp 1 have now been addressed by the contractor to the school’s satisfaction.
It was noted the new defect (the small section of kerb railing at Ramp 3 which has snapped off) will be rectified by JLG by Friday 6th February. Please let us know if this does not occur.
</t>
  </si>
  <si>
    <t>amy.tinetti@education.vic.gov.au</t>
  </si>
  <si>
    <t>Brendyn Flood &lt;brendynflood@gmail.com&gt;; Zaim Zeneli &lt;Zaim.Zeneli@education.vic.gov.au&gt;</t>
  </si>
  <si>
    <t>21/10 - Ramp 9  restumping works completed. Updated program to be provided. End of Feb target.
Ramp works to commence next week.
All other ramps - CFI this week
29/01 - Framing this week &amp; concreting next week. Lightweigh cladding proposed. Moddex week after next. Still tracking to 27/2
5/02 - Concrete is poured, moddex may have some delay with fabrication (Pirotta to followup). Needs 2 weeks to install, it will arrive onsite on 20th Feb.
12/02 - Ramps schedule for next week (delivery 7am Mon), hopefully 27th finish.
26/02 - Weather delay, working Saturday and Monday for moddex &amp; bitumen, final defect inspection Monday 2/03 (hopefully).</t>
  </si>
  <si>
    <t>Pirotta - Guliano 12/2</t>
  </si>
  <si>
    <t>All Ramps except Ramp 9 are completed and accessible by the school. Ramp 9 progressing woith boxing and steel by 30/01 with concrete pour expected 3/02 and moddex steel to be completed by 27/02/2026 at the latest.</t>
  </si>
  <si>
    <t>Ramp 9 restumping end next week, excav/geotech done. Expect end Feb.
CFI expected 14/01 for all other ramps and then for the final</t>
  </si>
  <si>
    <t>Michael being vocal</t>
  </si>
  <si>
    <t>Michael.Keenan@education.vic.gov.au</t>
  </si>
  <si>
    <t>Complete 17/07/2024</t>
  </si>
  <si>
    <t>Ramp 6 - complete
Ramp 4 - Feb 2026 - Re-design requiring approval - variation $ 20,672.83 for DS approval. $5k contribution by the school
Intent for RBS to issue letter to allow use of completed ramps
29/01 - Still awaiting approval from VSBA, then need program from Builder.</t>
  </si>
  <si>
    <t>All Ramps other than Ramp 4 are completed. JMA Architects following up on additional school request for additional concrete to remove the uneven areas in the travel space. Please follow up with Tim Meldrum JMA.</t>
  </si>
  <si>
    <t>Roof works to Ramp see forecast for end next week (23/1). CFI for all completed ramps. Ramp for large effort</t>
  </si>
  <si>
    <t>Leigh.Roberts@education.vic.gov.au</t>
  </si>
  <si>
    <t>Small variation outstanding.
29/01 - Builder caused defect, needs rectification</t>
  </si>
  <si>
    <t>All works completed, builder has been requested to rectify defect drain strip. Please follow up with TIm Meldrum if this is yet to occur.</t>
  </si>
  <si>
    <t>Variation/Defect to submit to Dileep ($1k)</t>
  </si>
  <si>
    <t>leisa.higgins@education.vic.gov.au'</t>
  </si>
  <si>
    <t>23/01/2026 inspection</t>
  </si>
  <si>
    <t>Expected CFI by 31/12/2025 with remedial works in January 2026 80m2 turf, handrail adjustments, backfill wall and clean up.
21/01 - Ramp 1 completed and compliant, All works expected to be completed this week. 
Ramp 5 kick rails to be installed 21/01. Final inspection this week
Ramp 7 completed
Defects inspection and final inspection to be scheduled. School request for a Yarning Circle to be discussed - committed by Pirotta
RBS inspection 23/01/2016 (PDC attended)
29/01 - Kylie Principal on personal leave back in Feb (require her signoff)
12/02 - awaiting Kylie return and RBS return</t>
  </si>
  <si>
    <t>All works completed, builder has been requested to rectify Ramp 5. All ramps are open and CFI has been received. 1:1 Architects and Pirotta to seek school sign off and endorsement, noting that there is a six month defect liabilty period to cover any issues that may arise in this time. We appreciate that the Principal is away until the 29th February 2026 but we cannot delay closing out these works. The school acklowledgement is only to say the scope of works as agree has been completed. Any concerns or comments can be noted on the sign off form as a record. Happy to discuss.</t>
  </si>
  <si>
    <t>CFI 13/1 - Ramp7 failed (reduced width, could be pedantic, 1:1 to follow). 
Ramp 5 at 90% to complete this week (tactiles &amp; handrail). 
Rebooking inspection for next Wed 21/1. PCC 27/02/26</t>
  </si>
  <si>
    <t>kylie.nissen@education.vic.gov.au</t>
  </si>
  <si>
    <t>Complete 29/08/2025</t>
  </si>
  <si>
    <t>Complete 21/08/2025</t>
  </si>
  <si>
    <t>failed final inspection, rectification eta? Clearance between handrail to be added to Performance Solution.</t>
  </si>
  <si>
    <t>All works are completed. A site inspection and school acknowledgement will be sought from 1:1 Architects and Chippa. There is a six month defect liability period to cover any issues that may arise in this time.</t>
  </si>
  <si>
    <t>lynn.ordish@education.vic.gov.au</t>
  </si>
  <si>
    <t>Complete 28/08/2025</t>
  </si>
  <si>
    <t>Complete 29/04/2025</t>
  </si>
  <si>
    <t>Complete 18/07/2024</t>
  </si>
  <si>
    <t>complete 19/12/2025</t>
  </si>
  <si>
    <t>Planter box lid variation and defect works to complete. 
22/01 - Lid variation approved by Dileep/VSBA. Awaiting CFI with Hum.  Defect inspections to be conducted thereafter
29/01 - Awaiting HUM program.  
3/02 - Received Email from school (via Tim M) advising of final re-keying costs (~$13k).
05/02 - End of next week forecast completion
10/02 - Email received from school, Contractor illegal entry into school on Saturday (cut padlock), filled planter box &amp; didn't address defects.
26/02 - Asphalt outstanding, school was thinking pit lid was also being done.</t>
  </si>
  <si>
    <t>PDC - Raschid</t>
  </si>
  <si>
    <t>We understand that there are some defect and planter works to be completed, we are awaiting HUM program to complete these remaining works. Works are however expected to be completed by 16th February 2026. Please advise if this does not occur.</t>
  </si>
  <si>
    <r>
      <rPr>
        <sz val="11"/>
        <color rgb="FF000000"/>
        <rFont val="Calibri"/>
        <family val="2"/>
        <scheme val="minor"/>
      </rPr>
      <t xml:space="preserve">CFI inspection done but paperwork not received.  Hum to chase. </t>
    </r>
    <r>
      <rPr>
        <strike/>
        <sz val="11"/>
        <color rgb="FF000000"/>
        <rFont val="Calibri"/>
        <family val="2"/>
        <scheme val="minor"/>
      </rPr>
      <t>Variation of planter box before progressing defect rectification ($3k). Hum wont fix defects until variations done</t>
    </r>
    <r>
      <rPr>
        <sz val="11"/>
        <color rgb="FF000000"/>
        <rFont val="Calibri"/>
        <family val="2"/>
        <scheme val="minor"/>
      </rPr>
      <t>. CFI to be book indepently.</t>
    </r>
  </si>
  <si>
    <t>Problem site - HUM lost the master keys ($13k), illegal entry on Sat 7/02.</t>
  </si>
  <si>
    <t>Joshua.Blanchard@education.vic.gov.au</t>
  </si>
  <si>
    <t>Completed June. Bella to advise why PCC not yet issued  - URGENT. Defects inspection not done</t>
  </si>
  <si>
    <t>Julie.Gleeson@education.vic.gov.au</t>
  </si>
  <si>
    <t>bella@hendersonandlodge.com.au; belinda.griffin@hendersonandlodge.com.au</t>
  </si>
  <si>
    <t>Complete 22/08/2025</t>
  </si>
  <si>
    <t>Complete 8/10/2025</t>
  </si>
  <si>
    <t>Complete 15/09/2025</t>
  </si>
  <si>
    <t>Work scope complete</t>
  </si>
  <si>
    <t>Peter.Friedl@education.vic.gov.au</t>
  </si>
  <si>
    <t>Complete 24/11/2025</t>
  </si>
  <si>
    <t>Complete 17/06/2024</t>
  </si>
  <si>
    <t>Complete 18/09/2025</t>
  </si>
  <si>
    <t>Complete 23/07/2024</t>
  </si>
  <si>
    <t>Removed from scope</t>
  </si>
  <si>
    <t>Complete 18/08/2025</t>
  </si>
  <si>
    <t>Complete 31/07/2025</t>
  </si>
  <si>
    <t>Complete 20/03/2025</t>
  </si>
  <si>
    <t>16/2/2026</t>
  </si>
  <si>
    <t>As advised, due to extreme heat and forecasted weather predicted to be over 35 degrees. Domain National will unfortunately not be on site at this stage until Monday 2nd February. Jordan and Alex will advise of any changes to the expceted completion dates.</t>
  </si>
  <si>
    <t>Jordan has advised via email (30/1) to Melissa of the Monday 2nd recommencement.</t>
  </si>
  <si>
    <t>Jordan</t>
  </si>
  <si>
    <t>melissa.mitchell@education.vic.gov.au</t>
  </si>
  <si>
    <t>jennifer.gifford@education.vic.gov.au; shirlee.tillig@education.vic.gov.au</t>
  </si>
  <si>
    <t>Jordan Veniamakis &lt;jordan@himmelzimmer.com&gt;</t>
  </si>
  <si>
    <t>aaron@himmelzimmer.com; alex@domainnational.com.au; jamie@domainnational.com.au; tony.a@domainnational.com.au</t>
  </si>
  <si>
    <t>Complete 25/09/2025</t>
  </si>
  <si>
    <t>27/02/2026</t>
  </si>
  <si>
    <t>Ramp 15 TBC Expected PC 27/02/2026 (program to be submitted by Hum)
29/01 - Demo occurred today, pouring next week. Still tracking mid Feb
05/02 - R15 concrete pour done, handrails next week, 12/02 forecast completion
26/02 - Awaiting program to closeout. Small demo, removal handrails, removal concrete, pour and set, re-inspect. Hoping to finish by 7/03.</t>
  </si>
  <si>
    <t>HUM and JMA Architects have advised Ramp 15 concrete pour was scheduled 30/01/2026 and completion is due by 12th February 2026. Please advise if this does not occur.</t>
  </si>
  <si>
    <t>Kyle.Sleep@education.vic.gov.au</t>
  </si>
  <si>
    <t>Jointly</t>
  </si>
  <si>
    <t>Complete 7/11/2025</t>
  </si>
  <si>
    <t>waiting on school sign-off</t>
  </si>
  <si>
    <t>Ramps and RFE works across East and West Campuses are forecast to be inspected for defects and sign off acknowledgement by the school on the 9th of February 2026. Noting there is a six month defect liability period to cover any issues within that time. Spaces architects have advised they have scheduled a site inspection on the 4th February 2026 to review progress. Please advise if this does not occur.</t>
  </si>
  <si>
    <t>NA, recent email sent by Aaron 27/1</t>
  </si>
  <si>
    <t>Claire.Gibson@education.vic.gov.au</t>
  </si>
  <si>
    <t>Ramp work complete. RFE Roof December Holidays, The steel installation will occur between 5th and 23rd Jan 2026 exclusion zone required. Structural steel works are scheduled to occur between 8th January and 15th January 
14/01 - PCC walkthru 9 Feb with School. CFI next week (hopefully)
21/01 - completion 6 Feb. Defects inspection 8 Feb
28/01 - New forecast 9 Feb.
04/02 - Still tracking.  Awaiting Dileep approval for absestos removal (Jul 2025)
12/02 - Roof works completed yesterday</t>
  </si>
  <si>
    <t>See above</t>
  </si>
  <si>
    <t>Complete 10/11/2025</t>
  </si>
  <si>
    <t>Complete 28/01/2026</t>
  </si>
  <si>
    <t>yes 28/01/26</t>
  </si>
  <si>
    <t>Ramps 2 and 1 Final inspection this week
21/01 - All works completedand currently safe to occupy. 
Ramp 3 CFI received
29/01 - Defects complete yesterday 28/01</t>
  </si>
  <si>
    <t>1:1 Architects and Pirotta advised that all works are now completed, CFI has been recieved for all ramps and all ramps are open to the school. An inspection will be arranged for first week of February and school sign off acknowledgement will be sought noting that there is a six month defect liability period to cover any issues that may arise in this time. Please advise if this does not occur.</t>
  </si>
  <si>
    <t>CFI today 15/1. Ramp 1 &amp; 2 PCC by 23 Jan</t>
  </si>
  <si>
    <t>Christine.Branagh@education.vic.gov.au&gt;</t>
  </si>
  <si>
    <t>CFI received 18/12/2025
21/01 - defects rectification to be completed this week. cyclone fence scheduled 22/10 - Pirotta to provide temp fencing if cyclone fence not reworked. Fake turf  between water tank lsab and new paving gap. FInal defects inspection by Friday.</t>
  </si>
  <si>
    <t>CFI passed awaiting docs, defects done tmr (soon). Cyclone fence to be installed (this week or next). Pirotta to reach out and book inspection.</t>
  </si>
  <si>
    <t>david.quinn@education.vic.gov.au</t>
  </si>
  <si>
    <t>Open</t>
  </si>
  <si>
    <t xml:space="preserve">
Ramp 14 - non-DDA ramp, school request ramp over step to be treated as school defect. Will seek CFI with RBS to be issued next week</t>
  </si>
  <si>
    <t>JMA advised that all scoped works have been completed. JMA to meet with the school regarding Ramp 14 Service Ramp for a solution. Please advise if this does not occur.</t>
  </si>
  <si>
    <t>Build complete/ Defect inspection report done last week, to rectify before 27/1. Ramp 14 deviation sighted by school.</t>
  </si>
  <si>
    <t>Lisa.LIU@education.vic.gov.au</t>
  </si>
  <si>
    <t>CFI expected this week</t>
  </si>
  <si>
    <t>GRN - Drean</t>
  </si>
  <si>
    <t>Matthew.Amery@education.vic.gov.au</t>
  </si>
  <si>
    <t>15/8/2025 for ramp works</t>
  </si>
  <si>
    <t>Covered way roof works completd. Defects inspection to be scheduled next week
26/02 - Asphalt work done yesterday.</t>
  </si>
  <si>
    <t>JMA has advised that all works are completed and will seek sign off acknowledgement following the defect inspection the first week of February 2026. Noting that there is a six month defect liabiltiy period to cover any issues that may occur in this period. Please advise if this does not occur.</t>
  </si>
  <si>
    <t>As updated</t>
  </si>
  <si>
    <t>tina.ersch@education.vic.gov.au</t>
  </si>
  <si>
    <t>Contractor Engaged</t>
  </si>
  <si>
    <t>Contingency Amount</t>
  </si>
  <si>
    <t>TOTAL Approved FUNDING ($)</t>
  </si>
  <si>
    <t>Status / Commentary</t>
  </si>
  <si>
    <t>PDC Engaged</t>
  </si>
  <si>
    <t>Design Complete</t>
  </si>
  <si>
    <t>Variations</t>
  </si>
  <si>
    <t>Registered Building Surveyor</t>
  </si>
  <si>
    <t>DLP Complete</t>
  </si>
  <si>
    <t>Final Closure</t>
  </si>
  <si>
    <t>Admin Completion</t>
  </si>
  <si>
    <t>Defects Outstanding (Y/N)</t>
  </si>
  <si>
    <t>Communication History</t>
  </si>
  <si>
    <t xml:space="preserve">    Ramp 1</t>
  </si>
  <si>
    <t xml:space="preserve">    Ramp 2</t>
  </si>
  <si>
    <t xml:space="preserve">    Ramp 3</t>
  </si>
  <si>
    <t>Last week</t>
  </si>
  <si>
    <t>Week before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</si>
</sst>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1"/>
      <color rgb="FF000000"/>
      <name val="Calibri"/>
      <family val="2"/>
    </font>
    <font>
      <sz val="11"/>
      <color rgb="FF000000"/>
      <name val="Calibri"/>
      <family val="2"/>
      <scheme val="minor"/>
    </font>
    <font>
      <sz val="11"/>
      <color rgb="FF000000"/>
      <name val="Aptos Narrow"/>
      <family val="2"/>
    </font>
    <font>
      <sz val="11"/>
      <color rgb="FF242424"/>
      <name val="Aptos Narrow"/>
      <family val="2"/>
    </font>
    <font>
      <sz val="9"/>
      <color indexed="81"/>
      <name val="Tahoma"/>
      <family val="2"/>
    </font>
    <font>
      <u/>
      <sz val="11"/>
      <color theme="10"/>
      <name val="Calibri"/>
      <family val="2"/>
      <scheme val="minor"/>
    </font>
    <font>
      <b/>
      <sz val="12"/>
      <color theme="1"/>
      <name val="Calibri"/>
      <family val="2"/>
      <scheme val="minor"/>
    </font>
    <font>
      <sz val="12"/>
      <name val="Calibri"/>
      <family val="2"/>
      <scheme val="minor"/>
    </font>
    <font>
      <strike/>
      <sz val="11"/>
      <color rgb="FF000000"/>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125">
    <xf numFmtId="0" fontId="0" fillId="0" borderId="0" xfId="0"/>
    <xf numFmtId="0" fontId="0" fillId="0" borderId="0" xfId="0" applyAlignment="1">
      <alignment horizontal="center" vertical="center"/>
    </xf>
    <xf numFmtId="0" fontId="0" fillId="0" borderId="0" xfId="0" applyAlignment="1">
      <alignment horizontal="center"/>
    </xf>
    <xf numFmtId="0" fontId="3" fillId="2" borderId="1" xfId="0" applyFont="1" applyFill="1" applyBorder="1" applyAlignment="1">
      <alignment horizontal="center" vertical="center" wrapText="1"/>
    </xf>
    <xf numFmtId="0" fontId="3" fillId="0" borderId="0" xfId="0" applyFont="1" applyAlignment="1">
      <alignment horizontal="center" vertical="center" wrapText="1"/>
    </xf>
    <xf numFmtId="0" fontId="0" fillId="2" borderId="1" xfId="0" applyFill="1" applyBorder="1"/>
    <xf numFmtId="0" fontId="4" fillId="2" borderId="1" xfId="0" applyFont="1" applyFill="1" applyBorder="1"/>
    <xf numFmtId="0" fontId="4" fillId="2" borderId="1" xfId="0" applyFont="1" applyFill="1" applyBorder="1" applyAlignment="1">
      <alignment horizontal="center" vertical="center"/>
    </xf>
    <xf numFmtId="0" fontId="0" fillId="5" borderId="1" xfId="0" applyFill="1" applyBorder="1"/>
    <xf numFmtId="14" fontId="0" fillId="2" borderId="1" xfId="0" applyNumberFormat="1" applyFill="1" applyBorder="1" applyAlignment="1">
      <alignment horizontal="center"/>
    </xf>
    <xf numFmtId="164" fontId="0" fillId="2" borderId="1" xfId="0" applyNumberFormat="1" applyFill="1" applyBorder="1" applyAlignment="1">
      <alignment horizontal="center"/>
    </xf>
    <xf numFmtId="0" fontId="0" fillId="6" borderId="0" xfId="0" applyFill="1"/>
    <xf numFmtId="0" fontId="0" fillId="2" borderId="0" xfId="0" applyFill="1"/>
    <xf numFmtId="0" fontId="4" fillId="5" borderId="1" xfId="0" applyFont="1" applyFill="1" applyBorder="1"/>
    <xf numFmtId="0" fontId="4" fillId="5" borderId="1" xfId="0" applyFont="1" applyFill="1" applyBorder="1" applyAlignment="1">
      <alignment horizontal="center" vertical="center"/>
    </xf>
    <xf numFmtId="14"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7" borderId="1" xfId="0" applyFill="1" applyBorder="1"/>
    <xf numFmtId="0" fontId="4" fillId="7" borderId="1" xfId="0" applyFont="1" applyFill="1" applyBorder="1"/>
    <xf numFmtId="0" fontId="4" fillId="7" borderId="1" xfId="0" applyFont="1" applyFill="1" applyBorder="1" applyAlignment="1">
      <alignment horizontal="center" vertical="center"/>
    </xf>
    <xf numFmtId="14" fontId="0" fillId="7" borderId="1" xfId="0" applyNumberFormat="1" applyFill="1" applyBorder="1" applyAlignment="1">
      <alignment horizontal="center"/>
    </xf>
    <xf numFmtId="164" fontId="0" fillId="7" borderId="1" xfId="0" applyNumberFormat="1" applyFill="1" applyBorder="1" applyAlignment="1">
      <alignment horizontal="center"/>
    </xf>
    <xf numFmtId="14" fontId="0" fillId="4" borderId="1" xfId="0" applyNumberFormat="1" applyFill="1" applyBorder="1" applyAlignment="1">
      <alignment horizontal="center"/>
    </xf>
    <xf numFmtId="0" fontId="0" fillId="4" borderId="0" xfId="0" applyFill="1"/>
    <xf numFmtId="164" fontId="7" fillId="7" borderId="0" xfId="0" applyNumberFormat="1" applyFont="1" applyFill="1" applyAlignment="1">
      <alignment horizontal="center" vertical="center"/>
    </xf>
    <xf numFmtId="0" fontId="0" fillId="7" borderId="0" xfId="0" applyFill="1"/>
    <xf numFmtId="0" fontId="0" fillId="0" borderId="0" xfId="0" applyAlignment="1">
      <alignment wrapText="1"/>
    </xf>
    <xf numFmtId="164" fontId="0" fillId="3" borderId="1" xfId="0" applyNumberFormat="1" applyFill="1" applyBorder="1" applyAlignment="1">
      <alignment horizontal="center"/>
    </xf>
    <xf numFmtId="10" fontId="3" fillId="0" borderId="0" xfId="0" applyNumberFormat="1" applyFont="1" applyAlignment="1">
      <alignment horizontal="center"/>
    </xf>
    <xf numFmtId="0" fontId="3" fillId="0" borderId="0" xfId="0" applyFont="1" applyAlignment="1">
      <alignment horizontal="center"/>
    </xf>
    <xf numFmtId="0" fontId="11" fillId="0" borderId="0" xfId="0" applyFont="1" applyAlignment="1">
      <alignment vertical="center"/>
    </xf>
    <xf numFmtId="0" fontId="3" fillId="0" borderId="0" xfId="0" applyFont="1" applyAlignment="1">
      <alignment horizontal="center" vertical="center"/>
    </xf>
    <xf numFmtId="0" fontId="3" fillId="0" borderId="0" xfId="0" applyFont="1"/>
    <xf numFmtId="1" fontId="3" fillId="0" borderId="0" xfId="0" applyNumberFormat="1" applyFont="1" applyAlignment="1">
      <alignment horizontal="center" vertical="center"/>
    </xf>
    <xf numFmtId="0" fontId="0" fillId="0" borderId="0" xfId="0" applyAlignment="1">
      <alignment vertical="top"/>
    </xf>
    <xf numFmtId="0" fontId="0" fillId="0" borderId="0" xfId="0" applyAlignment="1">
      <alignment vertical="center"/>
    </xf>
    <xf numFmtId="9" fontId="0" fillId="0" borderId="0" xfId="1" applyFont="1" applyBorder="1" applyAlignment="1">
      <alignment horizont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8" borderId="1" xfId="0" applyFont="1" applyFill="1" applyBorder="1" applyAlignment="1">
      <alignment horizontal="center" vertical="center" wrapText="1"/>
    </xf>
    <xf numFmtId="0" fontId="3" fillId="0" borderId="0" xfId="0" applyFont="1" applyAlignment="1">
      <alignment horizontal="left" vertical="center" wrapText="1"/>
    </xf>
    <xf numFmtId="0" fontId="4" fillId="0" borderId="1" xfId="0" applyFont="1" applyBorder="1" applyAlignment="1">
      <alignment vertical="center"/>
    </xf>
    <xf numFmtId="0" fontId="4"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4" fontId="0" fillId="4" borderId="1" xfId="0" applyNumberFormat="1" applyFill="1" applyBorder="1" applyAlignment="1">
      <alignment horizontal="center" vertical="center"/>
    </xf>
    <xf numFmtId="0" fontId="0" fillId="0" borderId="1" xfId="0" applyBorder="1" applyAlignment="1">
      <alignment horizontal="left" vertical="top"/>
    </xf>
    <xf numFmtId="0" fontId="0" fillId="0" borderId="1" xfId="0" applyBorder="1"/>
    <xf numFmtId="0" fontId="0" fillId="6" borderId="1" xfId="0" applyFill="1" applyBorder="1" applyAlignment="1">
      <alignment horizontal="left" vertical="top"/>
    </xf>
    <xf numFmtId="0" fontId="4" fillId="0" borderId="1" xfId="0" applyFont="1" applyBorder="1"/>
    <xf numFmtId="0" fontId="0" fillId="0" borderId="1" xfId="0" applyBorder="1" applyAlignment="1">
      <alignment horizontal="left" vertical="top" wrapText="1"/>
    </xf>
    <xf numFmtId="0" fontId="0" fillId="0" borderId="0" xfId="0" applyAlignment="1">
      <alignment horizontal="center" vertical="center" wrapText="1"/>
    </xf>
    <xf numFmtId="0" fontId="10" fillId="0" borderId="0" xfId="2" applyFill="1"/>
    <xf numFmtId="0" fontId="0" fillId="0" borderId="0" xfId="0" applyAlignment="1">
      <alignment vertical="top" wrapText="1"/>
    </xf>
    <xf numFmtId="0" fontId="10" fillId="0" borderId="0" xfId="2"/>
    <xf numFmtId="14" fontId="0" fillId="9" borderId="1" xfId="0" applyNumberFormat="1" applyFill="1" applyBorder="1" applyAlignment="1">
      <alignment horizontal="center" vertical="center"/>
    </xf>
    <xf numFmtId="0" fontId="4" fillId="4" borderId="1" xfId="0" applyFont="1" applyFill="1" applyBorder="1"/>
    <xf numFmtId="0" fontId="0" fillId="4" borderId="1" xfId="0" applyFill="1" applyBorder="1" applyAlignment="1">
      <alignment horizontal="center" vertical="center"/>
    </xf>
    <xf numFmtId="0" fontId="0" fillId="4" borderId="1" xfId="0" applyFill="1" applyBorder="1" applyAlignment="1">
      <alignment horizontal="left" vertical="top"/>
    </xf>
    <xf numFmtId="0" fontId="0" fillId="4" borderId="1" xfId="0" applyFill="1" applyBorder="1"/>
    <xf numFmtId="0" fontId="4" fillId="3" borderId="1" xfId="0" applyFont="1" applyFill="1" applyBorder="1" applyAlignment="1">
      <alignment vertical="center"/>
    </xf>
    <xf numFmtId="14" fontId="0" fillId="3" borderId="1" xfId="0" applyNumberFormat="1" applyFill="1" applyBorder="1" applyAlignment="1">
      <alignment horizontal="center" vertical="center"/>
    </xf>
    <xf numFmtId="0" fontId="0" fillId="3" borderId="1" xfId="0" applyFill="1" applyBorder="1" applyAlignment="1">
      <alignment horizontal="left" vertical="top" wrapText="1"/>
    </xf>
    <xf numFmtId="0" fontId="0" fillId="4" borderId="0" xfId="0" applyFill="1" applyAlignment="1">
      <alignment horizontal="center" vertical="center"/>
    </xf>
    <xf numFmtId="0" fontId="4" fillId="3" borderId="1" xfId="0" applyFont="1" applyFill="1" applyBorder="1"/>
    <xf numFmtId="0" fontId="4" fillId="0" borderId="1" xfId="0" applyFont="1" applyBorder="1" applyAlignment="1">
      <alignment horizontal="left" vertical="center"/>
    </xf>
    <xf numFmtId="0" fontId="5" fillId="0" borderId="0" xfId="0" applyFont="1" applyAlignment="1">
      <alignment wrapText="1"/>
    </xf>
    <xf numFmtId="0" fontId="4" fillId="4" borderId="1" xfId="0" applyFont="1" applyFill="1" applyBorder="1" applyAlignment="1">
      <alignment vertical="center"/>
    </xf>
    <xf numFmtId="0" fontId="4" fillId="4"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0" fillId="0" borderId="1" xfId="0" applyBorder="1" applyAlignment="1">
      <alignment vertical="top"/>
    </xf>
    <xf numFmtId="14" fontId="0" fillId="0" borderId="1" xfId="0" applyNumberFormat="1" applyBorder="1" applyAlignment="1">
      <alignment horizontal="center"/>
    </xf>
    <xf numFmtId="0" fontId="0" fillId="0" borderId="1" xfId="0" applyBorder="1" applyAlignment="1">
      <alignment wrapText="1"/>
    </xf>
    <xf numFmtId="0" fontId="12" fillId="4" borderId="1" xfId="0" applyFont="1" applyFill="1" applyBorder="1" applyAlignment="1">
      <alignment vertical="center"/>
    </xf>
    <xf numFmtId="14" fontId="0" fillId="4" borderId="1" xfId="0" applyNumberFormat="1" applyFill="1" applyBorder="1" applyAlignment="1">
      <alignment horizontal="center" vertical="center" wrapText="1"/>
    </xf>
    <xf numFmtId="0" fontId="0" fillId="4" borderId="1" xfId="0" applyFill="1" applyBorder="1" applyAlignment="1">
      <alignment horizontal="left" vertical="top" wrapText="1"/>
    </xf>
    <xf numFmtId="0" fontId="0" fillId="4" borderId="0" xfId="0" applyFill="1" applyAlignment="1">
      <alignment horizontal="center" vertical="center" wrapText="1"/>
    </xf>
    <xf numFmtId="0" fontId="0" fillId="0" borderId="1" xfId="0" applyBorder="1" applyAlignment="1">
      <alignment vertical="top" wrapText="1"/>
    </xf>
    <xf numFmtId="0" fontId="0" fillId="0" borderId="0" xfId="0" quotePrefix="1"/>
    <xf numFmtId="14" fontId="0" fillId="0" borderId="1" xfId="0" applyNumberFormat="1" applyBorder="1" applyAlignment="1">
      <alignment horizontal="center" vertical="center" wrapText="1"/>
    </xf>
    <xf numFmtId="0" fontId="6" fillId="0" borderId="0" xfId="0" applyFont="1" applyAlignment="1">
      <alignment vertical="top" wrapText="1"/>
    </xf>
    <xf numFmtId="0" fontId="0" fillId="3" borderId="1" xfId="0" applyFill="1" applyBorder="1" applyAlignment="1">
      <alignment horizontal="left" vertical="top"/>
    </xf>
    <xf numFmtId="0" fontId="2" fillId="0" borderId="1" xfId="0" applyFont="1" applyBorder="1" applyAlignment="1">
      <alignment horizontal="left" vertical="top" wrapText="1"/>
    </xf>
    <xf numFmtId="0" fontId="0" fillId="0" borderId="0" xfId="0" applyAlignment="1">
      <alignment horizontal="center" wrapText="1"/>
    </xf>
    <xf numFmtId="0" fontId="8" fillId="3" borderId="1" xfId="0" applyFont="1" applyFill="1" applyBorder="1" applyAlignment="1">
      <alignment horizontal="left" vertical="top"/>
    </xf>
    <xf numFmtId="0" fontId="0" fillId="0" borderId="0" xfId="0" applyFill="1"/>
    <xf numFmtId="0" fontId="0" fillId="0" borderId="1" xfId="0" applyFill="1" applyBorder="1"/>
    <xf numFmtId="0" fontId="0" fillId="0" borderId="0" xfId="0" applyFill="1" applyBorder="1"/>
    <xf numFmtId="0" fontId="3" fillId="2" borderId="2" xfId="0" applyFont="1" applyFill="1" applyBorder="1" applyAlignment="1">
      <alignment horizontal="center" vertical="center" wrapText="1"/>
    </xf>
    <xf numFmtId="0" fontId="0" fillId="2" borderId="2" xfId="0" applyFill="1" applyBorder="1"/>
    <xf numFmtId="0" fontId="0" fillId="5" borderId="2" xfId="0" applyFill="1" applyBorder="1"/>
    <xf numFmtId="0" fontId="0" fillId="7" borderId="2" xfId="0" applyFill="1" applyBorder="1"/>
    <xf numFmtId="0" fontId="0" fillId="5" borderId="3" xfId="0" applyFill="1" applyBorder="1"/>
    <xf numFmtId="0" fontId="3" fillId="2" borderId="4" xfId="0" applyFont="1" applyFill="1" applyBorder="1" applyAlignment="1">
      <alignment horizontal="center" vertical="center" wrapText="1"/>
    </xf>
    <xf numFmtId="164" fontId="0" fillId="2" borderId="4" xfId="0" applyNumberFormat="1" applyFill="1" applyBorder="1" applyAlignment="1">
      <alignment horizontal="center"/>
    </xf>
    <xf numFmtId="164" fontId="0" fillId="5" borderId="4" xfId="0" applyNumberFormat="1" applyFill="1" applyBorder="1" applyAlignment="1">
      <alignment horizontal="center"/>
    </xf>
    <xf numFmtId="164" fontId="0" fillId="7" borderId="4" xfId="0" applyNumberFormat="1" applyFill="1" applyBorder="1" applyAlignment="1">
      <alignment horizontal="center"/>
    </xf>
    <xf numFmtId="164" fontId="0" fillId="3" borderId="4" xfId="0" applyNumberFormat="1" applyFill="1" applyBorder="1" applyAlignment="1">
      <alignment horizontal="center"/>
    </xf>
    <xf numFmtId="0" fontId="3" fillId="0" borderId="0" xfId="0" applyFont="1" applyFill="1" applyBorder="1" applyAlignment="1">
      <alignment horizontal="center" vertical="center" wrapText="1"/>
    </xf>
    <xf numFmtId="0" fontId="0" fillId="0" borderId="0" xfId="0" applyFill="1" applyAlignment="1">
      <alignment horizontal="center"/>
    </xf>
    <xf numFmtId="164" fontId="0" fillId="0" borderId="1" xfId="0" applyNumberFormat="1" applyFill="1" applyBorder="1" applyAlignment="1">
      <alignment horizontal="center"/>
    </xf>
    <xf numFmtId="164" fontId="0" fillId="2" borderId="2" xfId="0" applyNumberFormat="1" applyFill="1" applyBorder="1" applyAlignment="1">
      <alignment horizontal="center"/>
    </xf>
    <xf numFmtId="164" fontId="0" fillId="5" borderId="2" xfId="0" applyNumberFormat="1" applyFill="1" applyBorder="1" applyAlignment="1">
      <alignment horizontal="center"/>
    </xf>
    <xf numFmtId="164" fontId="0" fillId="7" borderId="2" xfId="0" applyNumberFormat="1" applyFill="1" applyBorder="1" applyAlignment="1">
      <alignment horizontal="center"/>
    </xf>
    <xf numFmtId="164" fontId="0" fillId="3" borderId="2" xfId="0" applyNumberFormat="1" applyFill="1" applyBorder="1" applyAlignment="1">
      <alignment horizontal="center"/>
    </xf>
    <xf numFmtId="14" fontId="0" fillId="2" borderId="4" xfId="0" applyNumberFormat="1" applyFill="1" applyBorder="1" applyAlignment="1">
      <alignment horizontal="center"/>
    </xf>
    <xf numFmtId="14" fontId="0" fillId="5" borderId="4" xfId="0" applyNumberFormat="1" applyFill="1" applyBorder="1" applyAlignment="1">
      <alignment horizontal="center"/>
    </xf>
    <xf numFmtId="14" fontId="0" fillId="7" borderId="4" xfId="0" applyNumberFormat="1" applyFill="1" applyBorder="1" applyAlignment="1">
      <alignment horizontal="center"/>
    </xf>
    <xf numFmtId="14" fontId="0" fillId="5" borderId="0" xfId="0" applyNumberFormat="1" applyFill="1" applyBorder="1" applyAlignment="1">
      <alignment horizontal="center"/>
    </xf>
    <xf numFmtId="0" fontId="4" fillId="0" borderId="1" xfId="0" applyFont="1" applyFill="1" applyBorder="1" applyAlignment="1">
      <alignment horizontal="center" vertical="center"/>
    </xf>
    <xf numFmtId="0" fontId="4" fillId="0" borderId="1" xfId="0" applyFont="1" applyFill="1" applyBorder="1"/>
    <xf numFmtId="0" fontId="0" fillId="0" borderId="2" xfId="0" applyFill="1" applyBorder="1"/>
    <xf numFmtId="14" fontId="0" fillId="0" borderId="4" xfId="0" applyNumberFormat="1" applyFill="1" applyBorder="1" applyAlignment="1">
      <alignment horizontal="center"/>
    </xf>
    <xf numFmtId="14" fontId="0" fillId="0" borderId="1" xfId="0" applyNumberFormat="1" applyFill="1" applyBorder="1" applyAlignment="1">
      <alignment horizontal="center"/>
    </xf>
    <xf numFmtId="164" fontId="0" fillId="0" borderId="4" xfId="0" applyNumberFormat="1" applyFill="1" applyBorder="1" applyAlignment="1">
      <alignment horizontal="center"/>
    </xf>
    <xf numFmtId="164" fontId="0" fillId="0" borderId="2" xfId="0" applyNumberFormat="1" applyFill="1" applyBorder="1" applyAlignment="1">
      <alignment horizont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0" fillId="0" borderId="1" xfId="0" applyFill="1" applyBorder="1" applyAlignment="1">
      <alignment horizontal="left" vertical="top" wrapText="1"/>
    </xf>
    <xf numFmtId="0" fontId="0" fillId="0" borderId="0" xfId="0" applyAlignment="1"/>
    <xf numFmtId="0" fontId="5" fillId="0" borderId="0" xfId="0" applyFont="1" applyFill="1" applyAlignment="1">
      <alignment wrapText="1"/>
    </xf>
    <xf numFmtId="0" fontId="2" fillId="0" borderId="1" xfId="0" applyFont="1" applyFill="1" applyBorder="1" applyAlignment="1">
      <alignment horizontal="left" vertical="top" wrapText="1"/>
    </xf>
    <xf numFmtId="0" fontId="8" fillId="0" borderId="1" xfId="0" applyFont="1" applyFill="1" applyBorder="1" applyAlignment="1">
      <alignment horizontal="left" vertical="top" wrapText="1"/>
    </xf>
    <xf numFmtId="0" fontId="0" fillId="0" borderId="0" xfId="0" applyFill="1" applyAlignment="1">
      <alignment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microsoft.com/office/2017/10/relationships/person" Target="persons/perso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vic.sharepoint.com/sites/EDUVIC-MUPMWorkingGroup/Meinhardt/01.Project%20Tracking/MU_PM_S3_Tracker.xlsb" TargetMode="External"/><Relationship Id="rId1" Type="http://schemas.openxmlformats.org/officeDocument/2006/relationships/externalLinkPath" Target="https://eduvic.sharepoint.com/sites/EDUVIC-MUPMWorkingGroup/Meinhardt/01.Project%20Tracking/MU_PM_S3_Tracker.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duvic.sharepoint.com/sites/EDUVIC-MUPMWorkingGroup/Johnstaff/01.Project%20Tracking/MU_PM_S1_Tracker.xlsb" TargetMode="External"/><Relationship Id="rId1" Type="http://schemas.openxmlformats.org/officeDocument/2006/relationships/externalLinkPath" Target="https://eduvic.sharepoint.com/sites/EDUVIC-MUPMWorkingGroup/Johnstaff/01.Project%20Tracking/MU_PM_S1_Tracker.xlsb"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eduvic.sharepoint.com/sites/EDUVIC-MUPMWorkingGroup/Meinhardt/01.Project%20Tracking/MU_PM_S3_Tracker.xlsb" TargetMode="External"/><Relationship Id="rId1" Type="http://schemas.openxmlformats.org/officeDocument/2006/relationships/externalLinkPath" Target="02%20Operations/Engagements/03%20-%20VSBA%20Ramps/MU_PM_S3_Tracker.xlsb"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sites/EDUVIC-MUPMWorkingGroup/Johnstaff/01.Project%20Tracking/MU_PM_S1_Tracker.xlsb" TargetMode="External"/><Relationship Id="rId2" Type="http://schemas.openxmlformats.org/officeDocument/2006/relationships/externalLinkPath" Target="https://eduvic.sharepoint.com/sites/EDUVIC-MUPMWorkingGroup/Johnstaff/01.Project%20Tracking/MU_PM_S1_Tracker.xlsb" TargetMode="External"/><Relationship Id="rId1" Type="http://schemas.openxmlformats.org/officeDocument/2006/relationships/externalLinkPath" Target="/sites/EDUVIC-MUPMWorkingGroup/Johnstaff/01.Project%20Tracking/MU_PM_S1_Tracker.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8gWWfhW7Ua3x7hghl9Ksv-1vBT8YRZPlYl6oDtxrscDT5EJxhqaQoC8VLKZtPai" itemId="01HP4XOEW7ZOXNGGQFGZHJZIAZGROE6HIE">
      <xxl21:absoluteUrl r:id="rId2"/>
    </xxl21:alternateUrls>
    <sheetNames>
      <sheetName val="SAIL - PMP"/>
      <sheetName val="Tracker"/>
      <sheetName val="Tracker (20240507)"/>
      <sheetName val="Data"/>
      <sheetName val="Supplier List"/>
    </sheetNames>
    <sheetDataSet>
      <sheetData sheetId="0"/>
      <sheetData sheetId="1"/>
      <sheetData sheetId="2"/>
      <sheetData sheetId="3">
        <row r="3">
          <cell r="I3" t="str">
            <v>New Project</v>
          </cell>
        </row>
        <row r="4">
          <cell r="I4" t="str">
            <v>PDC Procurement</v>
          </cell>
        </row>
        <row r="5">
          <cell r="I5" t="str">
            <v>PDC Appointment / Builder Direct</v>
          </cell>
        </row>
        <row r="6">
          <cell r="I6" t="str">
            <v>RFT Release</v>
          </cell>
        </row>
        <row r="7">
          <cell r="I7" t="str">
            <v>Contract Award</v>
          </cell>
        </row>
        <row r="8">
          <cell r="I8" t="str">
            <v>Practical Completion</v>
          </cell>
        </row>
        <row r="9">
          <cell r="I9" t="str">
            <v>Final Completion</v>
          </cell>
        </row>
      </sheetData>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8gWWfhW7Ua3x7hghl9Ksv-1vBT8YRZPlYl6oDtxrscFa7Uxy3ffSrTbnfTVscCP" itemId="01HP4XOEQRAFB2TOLKKJGLACITLFCKSG5C">
      <xxl21:absoluteUrl r:id="rId2"/>
    </xxl21:alternateUrls>
    <sheetNames>
      <sheetName val="SAIL - PMP"/>
      <sheetName val="Tracker"/>
      <sheetName val="Tracker (20240507)"/>
      <sheetName val="Data"/>
      <sheetName val="Supplier List"/>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8gWWfhW7Ua3x7hghl9Ksv-1vBT8YRZPlYl6oDtxrscDT5EJxhqaQoC8VLKZtPai" itemId="01HP4XOEW7ZOXNGGQFGZHJZIAZGROE6HIE">
      <xxl21:absoluteUrl r:id="rId2"/>
    </xxl21:alternateUrls>
    <sheetNames>
      <sheetName val="SAIL - PMP"/>
      <sheetName val="Tracker"/>
      <sheetName val="Tracker (20240507)"/>
      <sheetName val="Data"/>
      <sheetName val="Supplier List"/>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8gWWfhW7Ua3x7hghl9Ksv-1vBT8YRZPlYl6oDtxrscFa7Uxy3ffSrTbnfTVscCP" itemId="01HP4XOEQRAFB2TOLKKJGLACITLFCKSG5C">
      <xxl21:absoluteUrl r:id="rId2"/>
      <xxl21:relativeUrl r:id="rId3"/>
    </xxl21:alternateUrls>
    <sheetNames>
      <sheetName val="SAIL - PMP"/>
      <sheetName val="Tracker"/>
      <sheetName val="Tracker (20240507)"/>
      <sheetName val="Data"/>
      <sheetName val="Supplier List"/>
    </sheetNames>
    <sheetDataSet>
      <sheetData sheetId="0"/>
      <sheetData sheetId="1"/>
      <sheetData sheetId="2"/>
      <sheetData sheetId="3"/>
      <sheetData sheetId="4"/>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S" id="{43B45065-D266-4CAD-89A0-1AF13703932A}"/>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S" id="{E46343D3-2645-4E07-92D4-51F7BBED7EFD}">
    <nsvFilter filterId="{00000000-0001-0000-0000-000000000000}" ref="B4:AD116" tableId="0">
      <sortRules>
        <sortRule colId="2">
          <sortCondition ref="D4:D116"/>
        </sortRule>
      </sortRules>
    </nsvFilter>
  </namedSheetView>
</namedSheetViews>
</file>

<file path=xl/persons/person.xml><?xml version="1.0" encoding="utf-8"?>
<personList xmlns="http://schemas.microsoft.com/office/spreadsheetml/2018/threadedcomments" xmlns:x="http://schemas.openxmlformats.org/spreadsheetml/2006/main">
  <person displayName="Andrew Gerges" id="{BD9BC101-4D18-4316-A72E-671E83EC0076}" userId="S::Andrew.Gerges@meinhardtgroup.com::28f1c9b0-5470-42dc-8319-5d23c69f63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3" dT="2026-03-27T09:17:32.25" personId="{BD9BC101-4D18-4316-A72E-671E83EC0076}" id="{7A37E550-AF4A-4A02-8FBF-8936CC4C3226}">
    <text>Auto generated, 6months from Construction Complete</text>
  </threadedComment>
  <threadedComment ref="O3" dT="2026-03-27T09:18:34.65" personId="{BD9BC101-4D18-4316-A72E-671E83EC0076}" id="{364C35E6-8552-413C-B77F-A9D1B7E5BD16}">
    <text>Auto generated, 3months from DLP Complete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8" Type="http://schemas.openxmlformats.org/officeDocument/2006/relationships/hyperlink" Target="mailto:Cindy.Neilson@education.vic.gov.au" TargetMode="External"/><Relationship Id="rId13" Type="http://schemas.openxmlformats.org/officeDocument/2006/relationships/hyperlink" Target="mailto:Monique.Corcoran@education.vic.gov.au" TargetMode="External"/><Relationship Id="rId18" Type="http://schemas.openxmlformats.org/officeDocument/2006/relationships/hyperlink" Target="mailto:lynn.ordish@education.vic.gov.au" TargetMode="External"/><Relationship Id="rId26" Type="http://schemas.openxmlformats.org/officeDocument/2006/relationships/hyperlink" Target="mailto:david.quinn@education.vic.gov.au" TargetMode="External"/><Relationship Id="rId3" Type="http://schemas.openxmlformats.org/officeDocument/2006/relationships/hyperlink" Target="mailto:eileen.box@education.vic.gov.au" TargetMode="External"/><Relationship Id="rId21" Type="http://schemas.openxmlformats.org/officeDocument/2006/relationships/hyperlink" Target="mailto:Peter.Friedl@education.vic.gov.au" TargetMode="External"/><Relationship Id="rId7" Type="http://schemas.openxmlformats.org/officeDocument/2006/relationships/hyperlink" Target="mailto:steven.capp@education.vic.gov.au" TargetMode="External"/><Relationship Id="rId12" Type="http://schemas.openxmlformats.org/officeDocument/2006/relationships/hyperlink" Target="mailto:David.Geddes@education.vic.gov.au" TargetMode="External"/><Relationship Id="rId17" Type="http://schemas.openxmlformats.org/officeDocument/2006/relationships/hyperlink" Target="mailto:kylie.nissen@education.vic.gov.au" TargetMode="External"/><Relationship Id="rId25" Type="http://schemas.openxmlformats.org/officeDocument/2006/relationships/hyperlink" Target="mailto:Christine.Branagh@education.vic.gov.au%3e" TargetMode="External"/><Relationship Id="rId2" Type="http://schemas.openxmlformats.org/officeDocument/2006/relationships/hyperlink" Target="mailto:Dale.Robb@education.vic.gov.au" TargetMode="External"/><Relationship Id="rId16" Type="http://schemas.openxmlformats.org/officeDocument/2006/relationships/hyperlink" Target="mailto:Leigh.Roberts@education.vic.gov.au" TargetMode="External"/><Relationship Id="rId20" Type="http://schemas.openxmlformats.org/officeDocument/2006/relationships/hyperlink" Target="mailto:Julie.Gleeson@education.vic.gov.au" TargetMode="External"/><Relationship Id="rId29" Type="http://schemas.openxmlformats.org/officeDocument/2006/relationships/hyperlink" Target="mailto:tina.ersch@education.vic.gov.au" TargetMode="External"/><Relationship Id="rId1" Type="http://schemas.openxmlformats.org/officeDocument/2006/relationships/hyperlink" Target="mailto:David.King@education.vic.gov.au" TargetMode="External"/><Relationship Id="rId6" Type="http://schemas.openxmlformats.org/officeDocument/2006/relationships/hyperlink" Target="mailto:john.webb3@education.vic.gov.au" TargetMode="External"/><Relationship Id="rId11" Type="http://schemas.openxmlformats.org/officeDocument/2006/relationships/hyperlink" Target="mailto:thomas.goddard@education.vic.gov.au" TargetMode="External"/><Relationship Id="rId24" Type="http://schemas.openxmlformats.org/officeDocument/2006/relationships/hyperlink" Target="mailto:Claire.Gibson@education.vic.gov.au" TargetMode="External"/><Relationship Id="rId32" Type="http://schemas.microsoft.com/office/2019/04/relationships/namedSheetView" Target="../namedSheetViews/namedSheetView2.xml"/><Relationship Id="rId5" Type="http://schemas.openxmlformats.org/officeDocument/2006/relationships/hyperlink" Target="mailto:harold.cheung@education.vic.gov.au" TargetMode="External"/><Relationship Id="rId15" Type="http://schemas.openxmlformats.org/officeDocument/2006/relationships/hyperlink" Target="mailto:Michael.Keenan@education.vic.gov.au" TargetMode="External"/><Relationship Id="rId23" Type="http://schemas.openxmlformats.org/officeDocument/2006/relationships/hyperlink" Target="mailto:Kyle.Sleep@education.vic.gov.au" TargetMode="External"/><Relationship Id="rId28" Type="http://schemas.openxmlformats.org/officeDocument/2006/relationships/hyperlink" Target="mailto:Matthew.Amery@education.vic.gov.au" TargetMode="External"/><Relationship Id="rId10" Type="http://schemas.openxmlformats.org/officeDocument/2006/relationships/hyperlink" Target="mailto:steven.capp@education.vic.gov.au" TargetMode="External"/><Relationship Id="rId19" Type="http://schemas.openxmlformats.org/officeDocument/2006/relationships/hyperlink" Target="mailto:Joshua.Blanchard@education.vic.gov.au" TargetMode="External"/><Relationship Id="rId31" Type="http://schemas.openxmlformats.org/officeDocument/2006/relationships/printerSettings" Target="../printerSettings/printerSettings1.bin"/><Relationship Id="rId4" Type="http://schemas.openxmlformats.org/officeDocument/2006/relationships/hyperlink" Target="mailto:clare.stone@education.vic.gov.au" TargetMode="External"/><Relationship Id="rId9" Type="http://schemas.openxmlformats.org/officeDocument/2006/relationships/hyperlink" Target="mailto:Joshua.Bourke@education.vic.gov.au" TargetMode="External"/><Relationship Id="rId14" Type="http://schemas.openxmlformats.org/officeDocument/2006/relationships/hyperlink" Target="mailto:amy.tinetti@education.vic.gov.au" TargetMode="External"/><Relationship Id="rId22" Type="http://schemas.openxmlformats.org/officeDocument/2006/relationships/hyperlink" Target="mailto:melissa.mitchell@education.vic.gov.au" TargetMode="External"/><Relationship Id="rId27" Type="http://schemas.openxmlformats.org/officeDocument/2006/relationships/hyperlink" Target="mailto:Lisa.LIU@education.vic.gov.au" TargetMode="External"/><Relationship Id="rId30" Type="http://schemas.openxmlformats.org/officeDocument/2006/relationships/hyperlink" Target="mailto:patrick@bowdencorp.com.a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0377-895C-4931-B963-AAF17058FA0C}">
  <dimension ref="A2:MZ140"/>
  <sheetViews>
    <sheetView tabSelected="1" zoomScale="55" zoomScaleNormal="55" workbookViewId="0"/>
  </sheetViews>
  <sheetFormatPr defaultColWidth="9.140625" defaultRowHeight="15" x14ac:dyDescent="0.25"/>
  <cols>
    <col min="1" max="1" width="8.5703125" style="1" customWidth="1"/>
    <col min="2" max="2" width="38.28515625" customWidth="1"/>
    <col min="3" max="3" width="11.5703125" customWidth="1"/>
    <col min="4" max="4" width="27.5703125" customWidth="1"/>
    <col min="5" max="5" width="30.28515625" customWidth="1"/>
    <col min="6" max="6" width="1.85546875" style="88" customWidth="1"/>
    <col min="7" max="9" width="16.5703125" style="2" customWidth="1"/>
    <col min="10" max="10" width="1.85546875" style="88" customWidth="1"/>
    <col min="11" max="15" width="15.7109375" style="2" customWidth="1"/>
    <col min="16" max="16" width="1.85546875" style="88" customWidth="1"/>
    <col min="17" max="17" width="18.5703125" customWidth="1"/>
    <col min="18" max="19" width="18" style="2" customWidth="1"/>
    <col min="20" max="20" width="1.85546875" style="88" customWidth="1"/>
    <col min="21" max="21" width="15.7109375" style="2" customWidth="1"/>
    <col min="22" max="22" width="1.85546875" style="88" customWidth="1"/>
    <col min="23" max="23" width="61.85546875" style="120" customWidth="1"/>
    <col min="24" max="24" width="1.85546875" style="88" customWidth="1"/>
  </cols>
  <sheetData>
    <row r="2" spans="1:82" ht="18.75" customHeight="1" x14ac:dyDescent="0.25">
      <c r="Y2" s="118" t="s">
        <v>534</v>
      </c>
      <c r="Z2" s="118"/>
      <c r="AA2" s="118"/>
    </row>
    <row r="3" spans="1:82" s="4" customFormat="1" ht="75" customHeight="1" x14ac:dyDescent="0.25">
      <c r="A3" s="3" t="s">
        <v>2</v>
      </c>
      <c r="B3" s="3" t="s">
        <v>1</v>
      </c>
      <c r="C3" s="3" t="s">
        <v>4</v>
      </c>
      <c r="D3" s="3" t="s">
        <v>0</v>
      </c>
      <c r="E3" s="89" t="s">
        <v>5</v>
      </c>
      <c r="F3" s="99"/>
      <c r="G3" s="94" t="s">
        <v>526</v>
      </c>
      <c r="H3" s="3" t="s">
        <v>522</v>
      </c>
      <c r="I3" s="3" t="s">
        <v>529</v>
      </c>
      <c r="J3" s="99"/>
      <c r="K3" s="3" t="s">
        <v>527</v>
      </c>
      <c r="L3" s="3" t="s">
        <v>281</v>
      </c>
      <c r="M3" s="3" t="s">
        <v>532</v>
      </c>
      <c r="N3" s="3" t="s">
        <v>530</v>
      </c>
      <c r="O3" s="3" t="s">
        <v>531</v>
      </c>
      <c r="P3" s="99"/>
      <c r="Q3" s="94" t="s">
        <v>524</v>
      </c>
      <c r="R3" s="3" t="s">
        <v>523</v>
      </c>
      <c r="S3" s="3" t="s">
        <v>528</v>
      </c>
      <c r="T3" s="99"/>
      <c r="U3" s="3" t="s">
        <v>533</v>
      </c>
      <c r="V3" s="99"/>
      <c r="W3" s="117" t="s">
        <v>525</v>
      </c>
      <c r="X3" s="99"/>
      <c r="Y3" s="3" t="s">
        <v>538</v>
      </c>
      <c r="Z3" s="3" t="s">
        <v>539</v>
      </c>
      <c r="AA3" s="3" t="s">
        <v>539</v>
      </c>
      <c r="AB3" s="3" t="s">
        <v>539</v>
      </c>
    </row>
    <row r="4" spans="1:82" ht="15.75" x14ac:dyDescent="0.25">
      <c r="A4" s="7">
        <v>8889</v>
      </c>
      <c r="B4" s="6" t="s">
        <v>8</v>
      </c>
      <c r="C4" s="8" t="s">
        <v>10</v>
      </c>
      <c r="D4" s="5" t="s">
        <v>7</v>
      </c>
      <c r="E4" s="90" t="s">
        <v>11</v>
      </c>
      <c r="G4" s="106" t="s">
        <v>12</v>
      </c>
      <c r="H4" s="9"/>
      <c r="I4" s="9"/>
      <c r="K4" s="9"/>
      <c r="L4" s="9">
        <v>45457</v>
      </c>
      <c r="M4" s="9"/>
      <c r="N4" s="9"/>
      <c r="O4" s="9"/>
      <c r="Q4" s="95">
        <v>94279.63</v>
      </c>
      <c r="R4" s="10">
        <v>94279.63</v>
      </c>
      <c r="S4" s="102"/>
      <c r="U4" s="114"/>
      <c r="W4" s="119"/>
      <c r="Y4" s="47"/>
      <c r="Z4" s="47"/>
      <c r="AA4" s="47"/>
      <c r="AB4" s="47"/>
    </row>
    <row r="5" spans="1:82" s="86" customFormat="1" ht="15.75" x14ac:dyDescent="0.25">
      <c r="A5" s="110"/>
      <c r="B5" s="111" t="s">
        <v>535</v>
      </c>
      <c r="C5" s="87"/>
      <c r="D5" s="87"/>
      <c r="E5" s="112"/>
      <c r="F5" s="88"/>
      <c r="G5" s="113"/>
      <c r="H5" s="114"/>
      <c r="I5" s="114"/>
      <c r="J5" s="88"/>
      <c r="K5" s="114"/>
      <c r="L5" s="114"/>
      <c r="M5" s="114"/>
      <c r="N5" s="114"/>
      <c r="O5" s="114"/>
      <c r="P5" s="88"/>
      <c r="Q5" s="115"/>
      <c r="R5" s="101"/>
      <c r="S5" s="116"/>
      <c r="T5" s="88"/>
      <c r="U5" s="114"/>
      <c r="V5" s="88"/>
      <c r="W5" s="119"/>
      <c r="X5" s="88"/>
      <c r="Y5" s="87"/>
      <c r="Z5" s="87"/>
      <c r="AA5" s="87"/>
      <c r="AB5" s="87"/>
    </row>
    <row r="6" spans="1:82" s="86" customFormat="1" ht="15.75" x14ac:dyDescent="0.25">
      <c r="A6" s="110"/>
      <c r="B6" s="111" t="s">
        <v>536</v>
      </c>
      <c r="C6" s="87"/>
      <c r="D6" s="87"/>
      <c r="E6" s="112"/>
      <c r="F6" s="88"/>
      <c r="G6" s="113"/>
      <c r="H6" s="114"/>
      <c r="I6" s="114"/>
      <c r="J6" s="88"/>
      <c r="K6" s="114"/>
      <c r="L6" s="114"/>
      <c r="M6" s="114"/>
      <c r="N6" s="114"/>
      <c r="O6" s="114"/>
      <c r="P6" s="88"/>
      <c r="Q6" s="115"/>
      <c r="R6" s="101"/>
      <c r="S6" s="116"/>
      <c r="T6" s="88"/>
      <c r="U6" s="114"/>
      <c r="V6" s="88"/>
      <c r="W6" s="119"/>
      <c r="X6" s="88"/>
      <c r="Y6" s="87"/>
      <c r="Z6" s="87"/>
      <c r="AA6" s="87"/>
      <c r="AB6" s="87"/>
    </row>
    <row r="7" spans="1:82" s="86" customFormat="1" ht="15.75" x14ac:dyDescent="0.25">
      <c r="A7" s="110"/>
      <c r="B7" s="111" t="s">
        <v>537</v>
      </c>
      <c r="C7" s="87"/>
      <c r="D7" s="87"/>
      <c r="E7" s="112"/>
      <c r="F7" s="88"/>
      <c r="G7" s="113"/>
      <c r="H7" s="114"/>
      <c r="I7" s="114"/>
      <c r="J7" s="88"/>
      <c r="K7" s="114"/>
      <c r="L7" s="114"/>
      <c r="M7" s="114"/>
      <c r="N7" s="114"/>
      <c r="O7" s="114"/>
      <c r="P7" s="88"/>
      <c r="Q7" s="115"/>
      <c r="R7" s="101"/>
      <c r="S7" s="116"/>
      <c r="T7" s="88"/>
      <c r="U7" s="114"/>
      <c r="V7" s="88"/>
      <c r="W7" s="119"/>
      <c r="X7" s="88"/>
      <c r="Y7" s="87"/>
      <c r="Z7" s="87"/>
      <c r="AA7" s="87"/>
      <c r="AB7" s="87"/>
    </row>
    <row r="8" spans="1:82" s="12" customFormat="1" ht="15.75" x14ac:dyDescent="0.25">
      <c r="A8" s="7">
        <v>1</v>
      </c>
      <c r="B8" s="6" t="s">
        <v>13</v>
      </c>
      <c r="C8" s="5" t="s">
        <v>10</v>
      </c>
      <c r="D8" s="5" t="s">
        <v>7</v>
      </c>
      <c r="E8" s="90" t="s">
        <v>15</v>
      </c>
      <c r="F8" s="88"/>
      <c r="G8" s="106" t="s">
        <v>12</v>
      </c>
      <c r="H8" s="9"/>
      <c r="I8" s="9"/>
      <c r="J8" s="88"/>
      <c r="K8" s="9"/>
      <c r="L8" s="9">
        <v>45469</v>
      </c>
      <c r="M8" s="9"/>
      <c r="N8" s="9"/>
      <c r="O8" s="9"/>
      <c r="P8" s="88"/>
      <c r="Q8" s="95">
        <v>1000</v>
      </c>
      <c r="R8" s="10">
        <v>1000</v>
      </c>
      <c r="S8" s="102"/>
      <c r="T8" s="88"/>
      <c r="U8" s="114"/>
      <c r="V8" s="88"/>
      <c r="W8" s="119"/>
      <c r="X8" s="88"/>
      <c r="Y8" s="87"/>
      <c r="Z8" s="87"/>
      <c r="AA8" s="87"/>
      <c r="AB8" s="87"/>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row>
    <row r="9" spans="1:82" ht="30" x14ac:dyDescent="0.25">
      <c r="A9" s="14">
        <v>8874</v>
      </c>
      <c r="B9" s="13" t="s">
        <v>16</v>
      </c>
      <c r="C9" s="8" t="s">
        <v>10</v>
      </c>
      <c r="D9" s="8" t="s">
        <v>7</v>
      </c>
      <c r="E9" s="91" t="s">
        <v>18</v>
      </c>
      <c r="G9" s="107" t="s">
        <v>19</v>
      </c>
      <c r="H9" s="15" t="s">
        <v>286</v>
      </c>
      <c r="I9" s="15"/>
      <c r="K9" s="15"/>
      <c r="L9" s="15"/>
      <c r="M9" s="15"/>
      <c r="N9" s="15"/>
      <c r="O9" s="15"/>
      <c r="Q9" s="96">
        <v>96920.14</v>
      </c>
      <c r="R9" s="16">
        <v>96920.14</v>
      </c>
      <c r="S9" s="103"/>
      <c r="U9" s="114"/>
      <c r="W9" s="119" t="s">
        <v>289</v>
      </c>
      <c r="Y9" s="87"/>
      <c r="Z9" s="87"/>
      <c r="AA9" s="87"/>
      <c r="AB9" s="87"/>
    </row>
    <row r="10" spans="1:82" ht="165" x14ac:dyDescent="0.25">
      <c r="A10" s="19">
        <v>5287</v>
      </c>
      <c r="B10" s="18" t="s">
        <v>20</v>
      </c>
      <c r="C10" s="17" t="s">
        <v>22</v>
      </c>
      <c r="D10" s="17" t="s">
        <v>7</v>
      </c>
      <c r="E10" s="92" t="s">
        <v>23</v>
      </c>
      <c r="G10" s="108" t="s">
        <v>19</v>
      </c>
      <c r="H10" s="20"/>
      <c r="I10" s="20"/>
      <c r="K10" s="20"/>
      <c r="L10" s="20"/>
      <c r="M10" s="20"/>
      <c r="N10" s="20"/>
      <c r="O10" s="20"/>
      <c r="Q10" s="97">
        <v>103343.4</v>
      </c>
      <c r="R10" s="21">
        <v>103343.4</v>
      </c>
      <c r="S10" s="104"/>
      <c r="U10" s="114"/>
      <c r="W10" s="119" t="s">
        <v>300</v>
      </c>
      <c r="Y10" s="87"/>
      <c r="Z10" s="87"/>
      <c r="AA10" s="87"/>
      <c r="AB10" s="87"/>
    </row>
    <row r="11" spans="1:82" ht="300" x14ac:dyDescent="0.25">
      <c r="A11" s="14">
        <v>4931</v>
      </c>
      <c r="B11" s="13" t="s">
        <v>24</v>
      </c>
      <c r="C11" s="8" t="s">
        <v>22</v>
      </c>
      <c r="D11" s="8" t="s">
        <v>7</v>
      </c>
      <c r="E11" s="91" t="s">
        <v>23</v>
      </c>
      <c r="G11" s="107" t="s">
        <v>19</v>
      </c>
      <c r="H11" s="15"/>
      <c r="I11" s="15"/>
      <c r="K11" s="15"/>
      <c r="L11" s="15"/>
      <c r="M11" s="15"/>
      <c r="N11" s="15"/>
      <c r="O11" s="15"/>
      <c r="Q11" s="96">
        <v>152217.98000000001</v>
      </c>
      <c r="R11" s="16">
        <v>152217.98000000001</v>
      </c>
      <c r="S11" s="103"/>
      <c r="U11" s="114"/>
      <c r="W11" s="119" t="s">
        <v>304</v>
      </c>
      <c r="Y11" s="87"/>
      <c r="Z11" s="87"/>
      <c r="AA11" s="87"/>
      <c r="AB11" s="87"/>
    </row>
    <row r="12" spans="1:82" ht="15.75" x14ac:dyDescent="0.25">
      <c r="A12" s="19">
        <v>800</v>
      </c>
      <c r="B12" s="18" t="s">
        <v>26</v>
      </c>
      <c r="C12" s="17" t="s">
        <v>22</v>
      </c>
      <c r="D12" s="17" t="s">
        <v>7</v>
      </c>
      <c r="E12" s="92" t="s">
        <v>28</v>
      </c>
      <c r="G12" s="108" t="s">
        <v>29</v>
      </c>
      <c r="H12" s="20"/>
      <c r="I12" s="20"/>
      <c r="K12" s="22"/>
      <c r="L12" s="22">
        <v>45950</v>
      </c>
      <c r="M12" s="22"/>
      <c r="N12" s="22"/>
      <c r="O12" s="22"/>
      <c r="Q12" s="97">
        <v>154851.13</v>
      </c>
      <c r="R12" s="21">
        <v>154851.13</v>
      </c>
      <c r="S12" s="104"/>
      <c r="U12" s="114"/>
      <c r="W12" s="119"/>
      <c r="Y12" s="87"/>
      <c r="Z12" s="87"/>
      <c r="AA12" s="87"/>
      <c r="AB12" s="87"/>
    </row>
    <row r="13" spans="1:82" s="12" customFormat="1" ht="15.75" x14ac:dyDescent="0.25">
      <c r="A13" s="7">
        <v>4848</v>
      </c>
      <c r="B13" s="6" t="s">
        <v>30</v>
      </c>
      <c r="C13" s="5" t="s">
        <v>22</v>
      </c>
      <c r="D13" s="5" t="s">
        <v>7</v>
      </c>
      <c r="E13" s="90" t="s">
        <v>32</v>
      </c>
      <c r="F13" s="88"/>
      <c r="G13" s="106" t="s">
        <v>19</v>
      </c>
      <c r="H13" s="9"/>
      <c r="I13" s="9"/>
      <c r="J13" s="88"/>
      <c r="K13" s="9"/>
      <c r="L13" s="9">
        <v>45447</v>
      </c>
      <c r="M13" s="9"/>
      <c r="N13" s="9"/>
      <c r="O13" s="9"/>
      <c r="P13" s="88"/>
      <c r="Q13" s="95">
        <v>1175</v>
      </c>
      <c r="R13" s="10">
        <v>1175</v>
      </c>
      <c r="S13" s="102"/>
      <c r="T13" s="88"/>
      <c r="U13" s="114"/>
      <c r="V13" s="88"/>
      <c r="W13" s="119"/>
      <c r="X13" s="88"/>
      <c r="Y13" s="87"/>
      <c r="Z13" s="87"/>
      <c r="AA13" s="87"/>
      <c r="AB13" s="87"/>
      <c r="AC13"/>
      <c r="AD13"/>
      <c r="AE13"/>
      <c r="AF13"/>
      <c r="AG13"/>
      <c r="AH13"/>
      <c r="AI13"/>
      <c r="AJ13"/>
      <c r="AK13"/>
      <c r="AL13"/>
      <c r="AM13"/>
      <c r="AN13"/>
      <c r="AO13"/>
      <c r="AP13"/>
      <c r="AQ13"/>
      <c r="AR13"/>
      <c r="AS13"/>
      <c r="AT13"/>
      <c r="AU13"/>
      <c r="AV13"/>
      <c r="AW13"/>
      <c r="AX13"/>
      <c r="AY13"/>
      <c r="AZ13"/>
      <c r="BA13"/>
      <c r="BB13"/>
      <c r="BC13"/>
      <c r="BD13"/>
    </row>
    <row r="14" spans="1:82" ht="15.75" x14ac:dyDescent="0.25">
      <c r="A14" s="19">
        <v>8777</v>
      </c>
      <c r="B14" s="18" t="s">
        <v>33</v>
      </c>
      <c r="C14" s="17" t="s">
        <v>22</v>
      </c>
      <c r="D14" s="17" t="s">
        <v>7</v>
      </c>
      <c r="E14" s="92" t="s">
        <v>35</v>
      </c>
      <c r="G14" s="108" t="s">
        <v>36</v>
      </c>
      <c r="H14" s="20"/>
      <c r="I14" s="20"/>
      <c r="K14" s="22"/>
      <c r="L14" s="22">
        <v>45959</v>
      </c>
      <c r="M14" s="22"/>
      <c r="N14" s="22"/>
      <c r="O14" s="22"/>
      <c r="Q14" s="97">
        <v>378381.16</v>
      </c>
      <c r="R14" s="21">
        <v>378381.16</v>
      </c>
      <c r="S14" s="104"/>
      <c r="U14" s="114"/>
      <c r="W14" s="119"/>
      <c r="Y14" s="87"/>
      <c r="Z14" s="87"/>
      <c r="AA14" s="87"/>
      <c r="AB14" s="87"/>
    </row>
    <row r="15" spans="1:82" ht="150" x14ac:dyDescent="0.25">
      <c r="A15" s="14">
        <v>8466</v>
      </c>
      <c r="B15" s="13" t="s">
        <v>37</v>
      </c>
      <c r="C15" s="8" t="s">
        <v>10</v>
      </c>
      <c r="D15" s="8" t="s">
        <v>7</v>
      </c>
      <c r="E15" s="91" t="s">
        <v>39</v>
      </c>
      <c r="G15" s="107" t="s">
        <v>12</v>
      </c>
      <c r="H15" s="15" t="s">
        <v>315</v>
      </c>
      <c r="I15" s="15"/>
      <c r="K15" s="15"/>
      <c r="L15" s="15"/>
      <c r="M15" s="15"/>
      <c r="N15" s="15"/>
      <c r="O15" s="15"/>
      <c r="Q15" s="96">
        <v>495400.36</v>
      </c>
      <c r="R15" s="16">
        <v>495400.36</v>
      </c>
      <c r="S15" s="103"/>
      <c r="U15" s="114"/>
      <c r="W15" s="119" t="s">
        <v>317</v>
      </c>
      <c r="Y15" s="87"/>
      <c r="Z15" s="87"/>
      <c r="AA15" s="87"/>
      <c r="AB15" s="87"/>
    </row>
    <row r="16" spans="1:82" ht="15.75" x14ac:dyDescent="0.25">
      <c r="A16" s="19">
        <v>5560</v>
      </c>
      <c r="B16" s="18" t="s">
        <v>40</v>
      </c>
      <c r="C16" s="17" t="s">
        <v>10</v>
      </c>
      <c r="D16" s="17" t="s">
        <v>7</v>
      </c>
      <c r="E16" s="92" t="s">
        <v>18</v>
      </c>
      <c r="G16" s="108" t="s">
        <v>19</v>
      </c>
      <c r="H16" s="20" t="s">
        <v>286</v>
      </c>
      <c r="I16" s="20"/>
      <c r="K16" s="22"/>
      <c r="L16" s="22">
        <v>46003</v>
      </c>
      <c r="M16" s="22"/>
      <c r="N16" s="22"/>
      <c r="O16" s="22"/>
      <c r="Q16" s="97">
        <v>351958.5</v>
      </c>
      <c r="R16" s="21">
        <v>351958.5</v>
      </c>
      <c r="S16" s="104"/>
      <c r="U16" s="114"/>
      <c r="W16" s="119"/>
      <c r="Y16" s="87"/>
      <c r="Z16" s="87"/>
      <c r="AA16" s="87"/>
      <c r="AB16" s="87"/>
    </row>
    <row r="17" spans="1:28" ht="60" x14ac:dyDescent="0.25">
      <c r="A17" s="14">
        <v>4803</v>
      </c>
      <c r="B17" s="13" t="s">
        <v>42</v>
      </c>
      <c r="C17" s="8" t="s">
        <v>10</v>
      </c>
      <c r="D17" s="8" t="s">
        <v>7</v>
      </c>
      <c r="E17" s="91" t="s">
        <v>44</v>
      </c>
      <c r="G17" s="107" t="s">
        <v>45</v>
      </c>
      <c r="H17" s="15" t="s">
        <v>324</v>
      </c>
      <c r="I17" s="15"/>
      <c r="K17" s="15"/>
      <c r="L17" s="15"/>
      <c r="M17" s="15"/>
      <c r="N17" s="15"/>
      <c r="O17" s="15"/>
      <c r="Q17" s="96">
        <v>200486.07</v>
      </c>
      <c r="R17" s="16">
        <v>200486.07</v>
      </c>
      <c r="S17" s="103"/>
      <c r="U17" s="114"/>
      <c r="W17" s="119" t="s">
        <v>325</v>
      </c>
      <c r="Y17" s="87"/>
      <c r="Z17" s="87"/>
      <c r="AA17" s="87"/>
      <c r="AB17" s="87"/>
    </row>
    <row r="18" spans="1:28" ht="15.75" x14ac:dyDescent="0.25">
      <c r="A18" s="19">
        <v>319</v>
      </c>
      <c r="B18" s="18" t="s">
        <v>46</v>
      </c>
      <c r="C18" s="17" t="s">
        <v>22</v>
      </c>
      <c r="D18" s="17" t="s">
        <v>7</v>
      </c>
      <c r="E18" s="92" t="s">
        <v>35</v>
      </c>
      <c r="G18" s="108" t="s">
        <v>36</v>
      </c>
      <c r="H18" s="20"/>
      <c r="I18" s="20"/>
      <c r="K18" s="20"/>
      <c r="L18" s="20"/>
      <c r="M18" s="20"/>
      <c r="N18" s="20"/>
      <c r="O18" s="20"/>
      <c r="Q18" s="95">
        <v>647.5</v>
      </c>
      <c r="R18" s="10">
        <v>647.5</v>
      </c>
      <c r="S18" s="102"/>
      <c r="U18" s="114"/>
      <c r="W18" s="119"/>
      <c r="Y18" s="87"/>
      <c r="Z18" s="87"/>
      <c r="AA18" s="87"/>
      <c r="AB18" s="87"/>
    </row>
    <row r="19" spans="1:28" ht="360" x14ac:dyDescent="0.25">
      <c r="A19" s="14">
        <v>7603</v>
      </c>
      <c r="B19" s="13" t="s">
        <v>48</v>
      </c>
      <c r="C19" s="8" t="s">
        <v>10</v>
      </c>
      <c r="D19" s="8" t="s">
        <v>7</v>
      </c>
      <c r="E19" s="91" t="s">
        <v>50</v>
      </c>
      <c r="G19" s="107" t="s">
        <v>36</v>
      </c>
      <c r="H19" s="15" t="s">
        <v>298</v>
      </c>
      <c r="I19" s="15"/>
      <c r="K19" s="15"/>
      <c r="L19" s="15"/>
      <c r="M19" s="15"/>
      <c r="N19" s="15"/>
      <c r="O19" s="15"/>
      <c r="Q19" s="96">
        <v>436050.96</v>
      </c>
      <c r="R19" s="16">
        <v>436050.96</v>
      </c>
      <c r="S19" s="103"/>
      <c r="U19" s="114"/>
      <c r="W19" s="119" t="s">
        <v>330</v>
      </c>
      <c r="Y19" s="87"/>
      <c r="Z19" s="87"/>
      <c r="AA19" s="87"/>
      <c r="AB19" s="87"/>
    </row>
    <row r="20" spans="1:28" ht="120" x14ac:dyDescent="0.25">
      <c r="A20" s="19">
        <v>7670</v>
      </c>
      <c r="B20" s="18" t="s">
        <v>51</v>
      </c>
      <c r="C20" s="17" t="s">
        <v>22</v>
      </c>
      <c r="D20" s="17" t="s">
        <v>7</v>
      </c>
      <c r="E20" s="92" t="s">
        <v>32</v>
      </c>
      <c r="G20" s="108" t="s">
        <v>19</v>
      </c>
      <c r="H20" s="20" t="s">
        <v>335</v>
      </c>
      <c r="I20" s="20"/>
      <c r="K20" s="20"/>
      <c r="L20" s="20"/>
      <c r="M20" s="20"/>
      <c r="N20" s="20"/>
      <c r="O20" s="20"/>
      <c r="Q20" s="97">
        <v>315891.55</v>
      </c>
      <c r="R20" s="21">
        <v>315891.55</v>
      </c>
      <c r="S20" s="104"/>
      <c r="U20" s="114"/>
      <c r="W20" s="119" t="s">
        <v>336</v>
      </c>
      <c r="Y20" s="87"/>
      <c r="Z20" s="87"/>
      <c r="AA20" s="87"/>
      <c r="AB20" s="87"/>
    </row>
    <row r="21" spans="1:28" ht="270" x14ac:dyDescent="0.25">
      <c r="A21" s="14">
        <v>5383</v>
      </c>
      <c r="B21" s="13" t="s">
        <v>53</v>
      </c>
      <c r="C21" s="8" t="s">
        <v>22</v>
      </c>
      <c r="D21" s="8" t="s">
        <v>7</v>
      </c>
      <c r="E21" s="91" t="s">
        <v>55</v>
      </c>
      <c r="G21" s="107" t="s">
        <v>19</v>
      </c>
      <c r="H21" s="15" t="s">
        <v>335</v>
      </c>
      <c r="I21" s="15"/>
      <c r="K21" s="15"/>
      <c r="L21" s="15"/>
      <c r="M21" s="15"/>
      <c r="N21" s="15"/>
      <c r="O21" s="15"/>
      <c r="Q21" s="96">
        <v>414221.64</v>
      </c>
      <c r="R21" s="16">
        <v>414221.64</v>
      </c>
      <c r="S21" s="103"/>
      <c r="U21" s="114"/>
      <c r="W21" s="119" t="s">
        <v>341</v>
      </c>
      <c r="Y21" s="87"/>
      <c r="Z21" s="87"/>
      <c r="AA21" s="87"/>
      <c r="AB21" s="87"/>
    </row>
    <row r="22" spans="1:28" ht="15.75" x14ac:dyDescent="0.25">
      <c r="A22" s="19">
        <v>2897</v>
      </c>
      <c r="B22" s="6" t="s">
        <v>56</v>
      </c>
      <c r="C22" s="17" t="s">
        <v>10</v>
      </c>
      <c r="D22" s="17" t="s">
        <v>7</v>
      </c>
      <c r="E22" s="92" t="s">
        <v>11</v>
      </c>
      <c r="G22" s="108" t="s">
        <v>12</v>
      </c>
      <c r="H22" s="20"/>
      <c r="I22" s="20"/>
      <c r="K22" s="22"/>
      <c r="L22" s="22">
        <v>45881</v>
      </c>
      <c r="M22" s="22"/>
      <c r="N22" s="22"/>
      <c r="O22" s="22"/>
      <c r="Q22" s="97">
        <v>10000</v>
      </c>
      <c r="R22" s="21">
        <v>10000</v>
      </c>
      <c r="S22" s="104"/>
      <c r="U22" s="114"/>
      <c r="W22" s="119"/>
      <c r="Y22" s="87"/>
      <c r="Z22" s="87"/>
      <c r="AA22" s="87"/>
      <c r="AB22" s="87"/>
    </row>
    <row r="23" spans="1:28" ht="195" x14ac:dyDescent="0.25">
      <c r="A23" s="14">
        <v>5435</v>
      </c>
      <c r="B23" s="13" t="s">
        <v>58</v>
      </c>
      <c r="C23" s="8" t="s">
        <v>10</v>
      </c>
      <c r="D23" s="8" t="s">
        <v>7</v>
      </c>
      <c r="E23" s="91" t="s">
        <v>50</v>
      </c>
      <c r="G23" s="107" t="s">
        <v>36</v>
      </c>
      <c r="H23" s="15" t="s">
        <v>346</v>
      </c>
      <c r="I23" s="109"/>
      <c r="K23" s="15"/>
      <c r="L23" s="15"/>
      <c r="M23" s="15"/>
      <c r="N23" s="15"/>
      <c r="O23" s="15"/>
      <c r="Q23" s="96">
        <v>751300</v>
      </c>
      <c r="R23" s="16">
        <v>751300</v>
      </c>
      <c r="S23" s="103"/>
      <c r="U23" s="114"/>
      <c r="W23" s="121" t="s">
        <v>347</v>
      </c>
      <c r="Y23" s="87"/>
      <c r="Z23" s="87"/>
      <c r="AA23" s="87"/>
      <c r="AB23" s="87"/>
    </row>
    <row r="24" spans="1:28" ht="15.75" x14ac:dyDescent="0.25">
      <c r="A24" s="19">
        <v>3341</v>
      </c>
      <c r="B24" s="18" t="s">
        <v>60</v>
      </c>
      <c r="C24" s="17" t="s">
        <v>10</v>
      </c>
      <c r="D24" s="17" t="s">
        <v>7</v>
      </c>
      <c r="E24" s="92" t="s">
        <v>62</v>
      </c>
      <c r="G24" s="108" t="s">
        <v>36</v>
      </c>
      <c r="H24" s="20" t="s">
        <v>353</v>
      </c>
      <c r="I24" s="20"/>
      <c r="K24" s="20"/>
      <c r="L24" s="20"/>
      <c r="M24" s="20"/>
      <c r="N24" s="20"/>
      <c r="O24" s="20"/>
      <c r="Q24" s="97">
        <v>146792.44</v>
      </c>
      <c r="R24" s="21">
        <v>146792.44</v>
      </c>
      <c r="S24" s="104"/>
      <c r="U24" s="114"/>
      <c r="W24" s="119" t="s">
        <v>355</v>
      </c>
      <c r="Y24" s="87"/>
      <c r="Z24" s="87"/>
      <c r="AA24" s="87"/>
      <c r="AB24" s="87"/>
    </row>
    <row r="25" spans="1:28" ht="15.75" x14ac:dyDescent="0.25">
      <c r="A25" s="14">
        <v>2061</v>
      </c>
      <c r="B25" s="13" t="s">
        <v>63</v>
      </c>
      <c r="C25" s="8" t="s">
        <v>22</v>
      </c>
      <c r="D25" s="8" t="s">
        <v>7</v>
      </c>
      <c r="E25" s="91" t="s">
        <v>35</v>
      </c>
      <c r="G25" s="107" t="s">
        <v>36</v>
      </c>
      <c r="H25" s="15"/>
      <c r="I25" s="15"/>
      <c r="K25" s="22"/>
      <c r="L25" s="22">
        <v>45875</v>
      </c>
      <c r="M25" s="22"/>
      <c r="N25" s="22"/>
      <c r="O25" s="22"/>
      <c r="Q25" s="96">
        <v>191005.5</v>
      </c>
      <c r="R25" s="16">
        <v>191005.5</v>
      </c>
      <c r="S25" s="103"/>
      <c r="U25" s="114"/>
      <c r="W25" s="119"/>
      <c r="Y25" s="87"/>
      <c r="Z25" s="87"/>
      <c r="AA25" s="87"/>
      <c r="AB25" s="87"/>
    </row>
    <row r="26" spans="1:28" ht="15.75" x14ac:dyDescent="0.25">
      <c r="A26" s="7">
        <v>4384</v>
      </c>
      <c r="B26" s="6" t="s">
        <v>65</v>
      </c>
      <c r="C26" s="17" t="s">
        <v>10</v>
      </c>
      <c r="D26" s="5" t="s">
        <v>7</v>
      </c>
      <c r="E26" s="90" t="s">
        <v>62</v>
      </c>
      <c r="G26" s="106" t="s">
        <v>36</v>
      </c>
      <c r="H26" s="9"/>
      <c r="I26" s="9"/>
      <c r="K26" s="9"/>
      <c r="L26" s="9">
        <v>45482</v>
      </c>
      <c r="M26" s="9"/>
      <c r="N26" s="9"/>
      <c r="O26" s="9"/>
      <c r="Q26" s="95">
        <v>2000</v>
      </c>
      <c r="R26" s="10">
        <v>2000</v>
      </c>
      <c r="S26" s="102"/>
      <c r="U26" s="114"/>
      <c r="W26" s="119"/>
      <c r="Y26" s="87"/>
      <c r="Z26" s="87"/>
      <c r="AA26" s="87"/>
      <c r="AB26" s="87"/>
    </row>
    <row r="27" spans="1:28" ht="15.75" x14ac:dyDescent="0.25">
      <c r="A27" s="14">
        <v>3664</v>
      </c>
      <c r="B27" s="13" t="s">
        <v>67</v>
      </c>
      <c r="C27" s="8" t="s">
        <v>10</v>
      </c>
      <c r="D27" s="8" t="s">
        <v>7</v>
      </c>
      <c r="E27" s="91" t="s">
        <v>18</v>
      </c>
      <c r="G27" s="107" t="s">
        <v>19</v>
      </c>
      <c r="H27" s="15" t="s">
        <v>286</v>
      </c>
      <c r="I27" s="15"/>
      <c r="K27" s="22"/>
      <c r="L27" s="22">
        <v>46003</v>
      </c>
      <c r="M27" s="22"/>
      <c r="N27" s="22"/>
      <c r="O27" s="22"/>
      <c r="Q27" s="96">
        <v>47227.02</v>
      </c>
      <c r="R27" s="16">
        <v>47227.02</v>
      </c>
      <c r="S27" s="103"/>
      <c r="U27" s="114"/>
      <c r="W27" s="119"/>
      <c r="Y27" s="87"/>
      <c r="Z27" s="87"/>
      <c r="AA27" s="87"/>
      <c r="AB27" s="87"/>
    </row>
    <row r="28" spans="1:28" ht="210" x14ac:dyDescent="0.25">
      <c r="A28" s="19">
        <v>5090</v>
      </c>
      <c r="B28" s="18" t="s">
        <v>69</v>
      </c>
      <c r="C28" s="17" t="s">
        <v>22</v>
      </c>
      <c r="D28" s="17" t="s">
        <v>7</v>
      </c>
      <c r="E28" s="92" t="s">
        <v>23</v>
      </c>
      <c r="G28" s="108" t="s">
        <v>19</v>
      </c>
      <c r="H28" s="20" t="s">
        <v>298</v>
      </c>
      <c r="I28" s="20"/>
      <c r="K28" s="20"/>
      <c r="L28" s="20"/>
      <c r="M28" s="20"/>
      <c r="N28" s="20"/>
      <c r="O28" s="20"/>
      <c r="Q28" s="97">
        <v>692825.98</v>
      </c>
      <c r="R28" s="21">
        <v>692825.98</v>
      </c>
      <c r="S28" s="104"/>
      <c r="U28" s="114"/>
      <c r="W28" s="119" t="s">
        <v>361</v>
      </c>
      <c r="Y28" s="87"/>
      <c r="Z28" s="87"/>
      <c r="AA28" s="87"/>
      <c r="AB28" s="87"/>
    </row>
    <row r="29" spans="1:28" ht="15.75" x14ac:dyDescent="0.25">
      <c r="A29" s="7">
        <v>8864</v>
      </c>
      <c r="B29" s="6" t="s">
        <v>71</v>
      </c>
      <c r="C29" s="5" t="s">
        <v>22</v>
      </c>
      <c r="D29" s="5" t="s">
        <v>7</v>
      </c>
      <c r="E29" s="90" t="s">
        <v>28</v>
      </c>
      <c r="G29" s="106" t="s">
        <v>29</v>
      </c>
      <c r="H29" s="9"/>
      <c r="I29" s="9"/>
      <c r="K29" s="9"/>
      <c r="L29" s="9">
        <v>45853</v>
      </c>
      <c r="M29" s="9"/>
      <c r="N29" s="9"/>
      <c r="O29" s="9"/>
      <c r="Q29" s="95">
        <v>135466.6</v>
      </c>
      <c r="R29" s="10">
        <v>135466.6</v>
      </c>
      <c r="S29" s="102"/>
      <c r="U29" s="114"/>
      <c r="W29" s="119"/>
      <c r="Y29" s="87"/>
      <c r="Z29" s="87"/>
      <c r="AA29" s="87"/>
      <c r="AB29" s="87"/>
    </row>
    <row r="30" spans="1:28" ht="15.75" x14ac:dyDescent="0.25">
      <c r="A30" s="19">
        <v>5510</v>
      </c>
      <c r="B30" s="18" t="s">
        <v>73</v>
      </c>
      <c r="C30" s="17" t="s">
        <v>10</v>
      </c>
      <c r="D30" s="17" t="s">
        <v>7</v>
      </c>
      <c r="E30" s="92" t="s">
        <v>18</v>
      </c>
      <c r="G30" s="108" t="s">
        <v>19</v>
      </c>
      <c r="H30" s="20" t="s">
        <v>286</v>
      </c>
      <c r="I30" s="20"/>
      <c r="K30" s="20"/>
      <c r="L30" s="20"/>
      <c r="M30" s="20"/>
      <c r="N30" s="20"/>
      <c r="O30" s="20"/>
      <c r="Q30" s="97">
        <v>28183</v>
      </c>
      <c r="R30" s="21">
        <v>28183</v>
      </c>
      <c r="S30" s="104"/>
      <c r="U30" s="114"/>
      <c r="W30" s="119"/>
      <c r="Y30" s="87"/>
      <c r="Z30" s="87"/>
      <c r="AA30" s="87"/>
      <c r="AB30" s="87"/>
    </row>
    <row r="31" spans="1:28" ht="15.75" x14ac:dyDescent="0.25">
      <c r="A31" s="14">
        <v>5518</v>
      </c>
      <c r="B31" s="13" t="s">
        <v>75</v>
      </c>
      <c r="C31" s="8" t="s">
        <v>10</v>
      </c>
      <c r="D31" s="8" t="s">
        <v>7</v>
      </c>
      <c r="E31" s="91" t="s">
        <v>18</v>
      </c>
      <c r="G31" s="107" t="s">
        <v>19</v>
      </c>
      <c r="H31" s="15" t="s">
        <v>286</v>
      </c>
      <c r="I31" s="15"/>
      <c r="K31" s="22"/>
      <c r="L31" s="22">
        <v>46003</v>
      </c>
      <c r="M31" s="22"/>
      <c r="N31" s="22"/>
      <c r="O31" s="22"/>
      <c r="Q31" s="96">
        <v>119004.62</v>
      </c>
      <c r="R31" s="16">
        <v>119004.62</v>
      </c>
      <c r="S31" s="103"/>
      <c r="U31" s="114"/>
      <c r="W31" s="119"/>
      <c r="Y31" s="87"/>
      <c r="Z31" s="87"/>
      <c r="AA31" s="87"/>
      <c r="AB31" s="87"/>
    </row>
    <row r="32" spans="1:28" ht="15.75" x14ac:dyDescent="0.25">
      <c r="A32" s="19">
        <v>3080</v>
      </c>
      <c r="B32" s="18" t="s">
        <v>77</v>
      </c>
      <c r="C32" s="17" t="s">
        <v>10</v>
      </c>
      <c r="D32" s="17" t="s">
        <v>7</v>
      </c>
      <c r="E32" s="92" t="s">
        <v>79</v>
      </c>
      <c r="G32" s="108" t="s">
        <v>12</v>
      </c>
      <c r="H32" s="20"/>
      <c r="I32" s="20"/>
      <c r="K32" s="22">
        <v>45940</v>
      </c>
      <c r="L32" s="22">
        <v>45769</v>
      </c>
      <c r="M32" s="22"/>
      <c r="N32" s="22"/>
      <c r="O32" s="22"/>
      <c r="Q32" s="97">
        <v>156095.13</v>
      </c>
      <c r="R32" s="21">
        <v>156095.13</v>
      </c>
      <c r="S32" s="104"/>
      <c r="U32" s="114"/>
      <c r="W32" s="119"/>
      <c r="Y32" s="87"/>
      <c r="Z32" s="87"/>
      <c r="AA32" s="87"/>
      <c r="AB32" s="87"/>
    </row>
    <row r="33" spans="1:129" ht="45" x14ac:dyDescent="0.25">
      <c r="A33" s="14">
        <v>4217</v>
      </c>
      <c r="B33" s="13" t="s">
        <v>80</v>
      </c>
      <c r="C33" s="8" t="s">
        <v>10</v>
      </c>
      <c r="D33" s="8" t="s">
        <v>7</v>
      </c>
      <c r="E33" s="91" t="s">
        <v>50</v>
      </c>
      <c r="G33" s="107" t="s">
        <v>36</v>
      </c>
      <c r="H33" s="15" t="s">
        <v>346</v>
      </c>
      <c r="I33" s="15"/>
      <c r="K33" s="15"/>
      <c r="L33" s="15"/>
      <c r="M33" s="15"/>
      <c r="N33" s="15"/>
      <c r="O33" s="15"/>
      <c r="Q33" s="96">
        <f>173851.92+20000</f>
        <v>193851.92</v>
      </c>
      <c r="R33" s="16">
        <f>173851.92+20000</f>
        <v>193851.92</v>
      </c>
      <c r="S33" s="103"/>
      <c r="U33" s="114"/>
      <c r="W33" s="119" t="s">
        <v>368</v>
      </c>
      <c r="Y33" s="87"/>
      <c r="Z33" s="87"/>
      <c r="AA33" s="87"/>
      <c r="AB33" s="87"/>
    </row>
    <row r="34" spans="1:129" ht="15.75" x14ac:dyDescent="0.25">
      <c r="A34" s="19">
        <v>184</v>
      </c>
      <c r="B34" s="18" t="s">
        <v>82</v>
      </c>
      <c r="C34" s="17" t="s">
        <v>10</v>
      </c>
      <c r="D34" s="17" t="s">
        <v>7</v>
      </c>
      <c r="E34" s="92" t="s">
        <v>79</v>
      </c>
      <c r="G34" s="108" t="s">
        <v>12</v>
      </c>
      <c r="H34" s="20"/>
      <c r="I34" s="20"/>
      <c r="K34" s="20"/>
      <c r="L34" s="20"/>
      <c r="M34" s="20"/>
      <c r="N34" s="20"/>
      <c r="O34" s="20"/>
      <c r="Q34" s="97">
        <v>315674.71000000002</v>
      </c>
      <c r="R34" s="21">
        <v>315674.71000000002</v>
      </c>
      <c r="S34" s="104"/>
      <c r="U34" s="114"/>
      <c r="W34" s="119" t="s">
        <v>373</v>
      </c>
      <c r="Y34" s="87"/>
      <c r="Z34" s="87"/>
      <c r="AA34" s="87"/>
      <c r="AB34" s="87"/>
    </row>
    <row r="35" spans="1:129" ht="15.75" x14ac:dyDescent="0.25">
      <c r="A35" s="14">
        <v>1417</v>
      </c>
      <c r="B35" s="13" t="s">
        <v>84</v>
      </c>
      <c r="C35" s="8" t="s">
        <v>10</v>
      </c>
      <c r="D35" s="8" t="s">
        <v>7</v>
      </c>
      <c r="E35" s="91" t="s">
        <v>15</v>
      </c>
      <c r="G35" s="107" t="s">
        <v>12</v>
      </c>
      <c r="H35" s="15"/>
      <c r="I35" s="15"/>
      <c r="K35" s="22"/>
      <c r="L35" s="22">
        <v>45810</v>
      </c>
      <c r="M35" s="22"/>
      <c r="N35" s="22"/>
      <c r="O35" s="22"/>
      <c r="Q35" s="96">
        <v>149400</v>
      </c>
      <c r="R35" s="16">
        <v>149400</v>
      </c>
      <c r="S35" s="103"/>
      <c r="U35" s="114"/>
      <c r="W35" s="119"/>
      <c r="Y35" s="87"/>
      <c r="Z35" s="87"/>
      <c r="AA35" s="87"/>
      <c r="AB35" s="87"/>
    </row>
    <row r="36" spans="1:129" ht="15.75" x14ac:dyDescent="0.25">
      <c r="A36" s="19">
        <v>3215</v>
      </c>
      <c r="B36" s="18" t="s">
        <v>86</v>
      </c>
      <c r="C36" s="17" t="s">
        <v>10</v>
      </c>
      <c r="D36" s="17" t="s">
        <v>7</v>
      </c>
      <c r="E36" s="92" t="s">
        <v>39</v>
      </c>
      <c r="G36" s="108" t="s">
        <v>12</v>
      </c>
      <c r="H36" s="20" t="s">
        <v>375</v>
      </c>
      <c r="I36" s="20"/>
      <c r="K36" s="22"/>
      <c r="L36" s="22">
        <v>45993</v>
      </c>
      <c r="M36" s="22"/>
      <c r="N36" s="22"/>
      <c r="O36" s="22"/>
      <c r="Q36" s="97">
        <v>120658.63</v>
      </c>
      <c r="R36" s="21">
        <v>120658.63</v>
      </c>
      <c r="S36" s="104"/>
      <c r="U36" s="114"/>
      <c r="W36" s="119"/>
      <c r="Y36" s="87"/>
      <c r="Z36" s="87"/>
      <c r="AA36" s="87"/>
      <c r="AB36" s="87"/>
    </row>
    <row r="37" spans="1:129" ht="150" x14ac:dyDescent="0.25">
      <c r="A37" s="14">
        <v>3790</v>
      </c>
      <c r="B37" s="13" t="s">
        <v>88</v>
      </c>
      <c r="C37" s="8" t="s">
        <v>10</v>
      </c>
      <c r="D37" s="8" t="s">
        <v>7</v>
      </c>
      <c r="E37" s="91" t="s">
        <v>62</v>
      </c>
      <c r="G37" s="107" t="s">
        <v>36</v>
      </c>
      <c r="H37" s="15" t="s">
        <v>353</v>
      </c>
      <c r="I37" s="15"/>
      <c r="K37" s="15"/>
      <c r="L37" s="15"/>
      <c r="M37" s="15"/>
      <c r="N37" s="15"/>
      <c r="O37" s="15"/>
      <c r="Q37" s="96">
        <v>558497.27</v>
      </c>
      <c r="R37" s="16">
        <v>558497.27</v>
      </c>
      <c r="S37" s="103"/>
      <c r="U37" s="114"/>
      <c r="W37" s="119" t="s">
        <v>378</v>
      </c>
      <c r="Y37" s="87"/>
      <c r="Z37" s="87"/>
      <c r="AA37" s="87"/>
      <c r="AB37" s="87"/>
    </row>
    <row r="38" spans="1:129" ht="15.75" x14ac:dyDescent="0.25">
      <c r="A38" s="19">
        <v>3942</v>
      </c>
      <c r="B38" s="18" t="s">
        <v>90</v>
      </c>
      <c r="C38" s="17" t="s">
        <v>10</v>
      </c>
      <c r="D38" s="17" t="s">
        <v>7</v>
      </c>
      <c r="E38" s="92" t="s">
        <v>11</v>
      </c>
      <c r="G38" s="108" t="s">
        <v>12</v>
      </c>
      <c r="H38" s="20"/>
      <c r="I38" s="20"/>
      <c r="K38" s="22"/>
      <c r="L38" s="22">
        <v>45779</v>
      </c>
      <c r="M38" s="22"/>
      <c r="N38" s="22"/>
      <c r="O38" s="22"/>
      <c r="Q38" s="24">
        <v>151438.07999999999</v>
      </c>
      <c r="R38" s="24">
        <v>151438.07999999999</v>
      </c>
      <c r="S38" s="24"/>
      <c r="U38" s="114"/>
      <c r="W38" s="119"/>
      <c r="Y38" s="87"/>
      <c r="Z38" s="87"/>
      <c r="AA38" s="87"/>
      <c r="AB38" s="87"/>
    </row>
    <row r="39" spans="1:129" ht="15.75" x14ac:dyDescent="0.25">
      <c r="A39" s="14">
        <v>253</v>
      </c>
      <c r="B39" s="13" t="s">
        <v>92</v>
      </c>
      <c r="C39" s="8" t="s">
        <v>22</v>
      </c>
      <c r="D39" s="8" t="s">
        <v>7</v>
      </c>
      <c r="E39" s="91" t="s">
        <v>32</v>
      </c>
      <c r="G39" s="107" t="s">
        <v>19</v>
      </c>
      <c r="H39" s="15"/>
      <c r="I39" s="15"/>
      <c r="K39" s="22"/>
      <c r="L39" s="22">
        <v>45838</v>
      </c>
      <c r="M39" s="22"/>
      <c r="N39" s="22"/>
      <c r="O39" s="22"/>
      <c r="Q39" s="96">
        <v>165614.82</v>
      </c>
      <c r="R39" s="16">
        <v>165614.82</v>
      </c>
      <c r="S39" s="103"/>
      <c r="U39" s="114"/>
      <c r="W39" s="119"/>
      <c r="Y39" s="87"/>
      <c r="Z39" s="87"/>
      <c r="AA39" s="87"/>
      <c r="AB39" s="87"/>
    </row>
    <row r="40" spans="1:129" ht="15.75" x14ac:dyDescent="0.25">
      <c r="A40" s="19">
        <v>8869</v>
      </c>
      <c r="B40" s="18" t="s">
        <v>94</v>
      </c>
      <c r="C40" s="17" t="s">
        <v>10</v>
      </c>
      <c r="D40" s="17" t="s">
        <v>7</v>
      </c>
      <c r="E40" s="92" t="s">
        <v>18</v>
      </c>
      <c r="G40" s="108" t="s">
        <v>19</v>
      </c>
      <c r="H40" s="20" t="s">
        <v>286</v>
      </c>
      <c r="I40" s="20"/>
      <c r="K40" s="22"/>
      <c r="L40" s="22">
        <v>46003</v>
      </c>
      <c r="M40" s="22"/>
      <c r="N40" s="22"/>
      <c r="O40" s="22"/>
      <c r="Q40" s="97">
        <v>159701.64000000001</v>
      </c>
      <c r="R40" s="21">
        <v>159701.64000000001</v>
      </c>
      <c r="S40" s="104"/>
      <c r="U40" s="114"/>
      <c r="W40" s="119"/>
      <c r="Y40" s="87"/>
      <c r="Z40" s="87"/>
      <c r="AA40" s="87"/>
      <c r="AB40" s="87"/>
    </row>
    <row r="41" spans="1:129" ht="15.75" x14ac:dyDescent="0.25">
      <c r="A41" s="14">
        <v>5076</v>
      </c>
      <c r="B41" s="13" t="s">
        <v>96</v>
      </c>
      <c r="C41" s="8" t="s">
        <v>22</v>
      </c>
      <c r="D41" s="8" t="s">
        <v>7</v>
      </c>
      <c r="E41" s="91" t="s">
        <v>35</v>
      </c>
      <c r="G41" s="107" t="s">
        <v>36</v>
      </c>
      <c r="H41" s="15"/>
      <c r="I41" s="15"/>
      <c r="K41" s="22"/>
      <c r="L41" s="22">
        <v>45875</v>
      </c>
      <c r="M41" s="22"/>
      <c r="N41" s="22"/>
      <c r="O41" s="22"/>
      <c r="Q41" s="96">
        <v>319633</v>
      </c>
      <c r="R41" s="16">
        <v>319633</v>
      </c>
      <c r="S41" s="103"/>
      <c r="U41" s="114"/>
      <c r="W41" s="119"/>
      <c r="Y41" s="87"/>
      <c r="Z41" s="87"/>
      <c r="AA41" s="87"/>
      <c r="AB41" s="87"/>
    </row>
    <row r="42" spans="1:129" ht="15.75" x14ac:dyDescent="0.25">
      <c r="A42" s="19">
        <v>1076</v>
      </c>
      <c r="B42" s="18" t="s">
        <v>98</v>
      </c>
      <c r="C42" s="17" t="s">
        <v>22</v>
      </c>
      <c r="D42" s="17" t="s">
        <v>7</v>
      </c>
      <c r="E42" s="92" t="s">
        <v>28</v>
      </c>
      <c r="G42" s="108" t="s">
        <v>29</v>
      </c>
      <c r="H42" s="20"/>
      <c r="I42" s="20"/>
      <c r="K42" s="22"/>
      <c r="L42" s="22">
        <v>45950</v>
      </c>
      <c r="M42" s="22"/>
      <c r="N42" s="22"/>
      <c r="O42" s="22"/>
      <c r="Q42" s="97">
        <v>68371.41</v>
      </c>
      <c r="R42" s="21">
        <v>68371.41</v>
      </c>
      <c r="S42" s="104"/>
      <c r="U42" s="114"/>
      <c r="W42" s="119"/>
      <c r="Y42" s="87"/>
      <c r="Z42" s="87"/>
      <c r="AA42" s="87"/>
      <c r="AB42" s="87"/>
    </row>
    <row r="43" spans="1:129" s="25" customFormat="1" ht="15.75" x14ac:dyDescent="0.25">
      <c r="A43" s="19">
        <v>4804</v>
      </c>
      <c r="B43" s="18" t="s">
        <v>100</v>
      </c>
      <c r="C43" s="5" t="s">
        <v>22</v>
      </c>
      <c r="D43" s="17" t="s">
        <v>7</v>
      </c>
      <c r="E43" s="92" t="s">
        <v>35</v>
      </c>
      <c r="F43" s="88"/>
      <c r="G43" s="108" t="s">
        <v>36</v>
      </c>
      <c r="H43" s="20"/>
      <c r="I43" s="20"/>
      <c r="J43" s="88"/>
      <c r="K43" s="22"/>
      <c r="L43" s="22">
        <v>45875</v>
      </c>
      <c r="M43" s="22"/>
      <c r="N43" s="22"/>
      <c r="O43" s="22"/>
      <c r="P43" s="88"/>
      <c r="Q43" s="97">
        <v>171711.34</v>
      </c>
      <c r="R43" s="21">
        <v>171711.34</v>
      </c>
      <c r="S43" s="104"/>
      <c r="T43" s="88"/>
      <c r="U43" s="114"/>
      <c r="V43" s="88"/>
      <c r="W43" s="119"/>
      <c r="X43" s="88"/>
      <c r="Y43" s="87"/>
      <c r="Z43" s="87"/>
      <c r="AA43" s="87"/>
      <c r="AB43" s="87"/>
      <c r="AC43"/>
      <c r="AD43"/>
      <c r="AE43"/>
      <c r="AF43"/>
      <c r="AG43"/>
      <c r="AH43"/>
      <c r="AI43"/>
      <c r="AJ43"/>
      <c r="AK43"/>
      <c r="AL43"/>
      <c r="AM43"/>
      <c r="AN43"/>
      <c r="AO43"/>
      <c r="AP43"/>
      <c r="AQ43"/>
      <c r="AR43"/>
      <c r="AS43"/>
      <c r="AT43"/>
      <c r="AU43"/>
      <c r="AV43"/>
      <c r="AW43"/>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row>
    <row r="44" spans="1:129" ht="15.75" x14ac:dyDescent="0.25">
      <c r="A44" s="19">
        <v>1098</v>
      </c>
      <c r="B44" s="18" t="s">
        <v>102</v>
      </c>
      <c r="C44" s="17" t="s">
        <v>10</v>
      </c>
      <c r="D44" s="17" t="s">
        <v>7</v>
      </c>
      <c r="E44" s="92" t="s">
        <v>79</v>
      </c>
      <c r="G44" s="108" t="s">
        <v>12</v>
      </c>
      <c r="H44" s="20"/>
      <c r="I44" s="20"/>
      <c r="K44" s="22"/>
      <c r="L44" s="22">
        <v>46003</v>
      </c>
      <c r="M44" s="22"/>
      <c r="N44" s="22"/>
      <c r="O44" s="22"/>
      <c r="Q44" s="97">
        <v>377241.37</v>
      </c>
      <c r="R44" s="21">
        <v>377241.37</v>
      </c>
      <c r="S44" s="104"/>
      <c r="U44" s="114"/>
      <c r="W44" s="119"/>
      <c r="Y44" s="87"/>
      <c r="Z44" s="87"/>
      <c r="AA44" s="87"/>
      <c r="AB44" s="87"/>
    </row>
    <row r="45" spans="1:129" ht="15.75" x14ac:dyDescent="0.25">
      <c r="A45" s="14">
        <v>8904</v>
      </c>
      <c r="B45" s="13" t="s">
        <v>104</v>
      </c>
      <c r="C45" s="8" t="s">
        <v>22</v>
      </c>
      <c r="D45" s="8" t="s">
        <v>7</v>
      </c>
      <c r="E45" s="91" t="s">
        <v>28</v>
      </c>
      <c r="G45" s="107" t="s">
        <v>29</v>
      </c>
      <c r="H45" s="15" t="s">
        <v>383</v>
      </c>
      <c r="I45" s="15"/>
      <c r="K45" s="22"/>
      <c r="L45" s="22">
        <v>45993</v>
      </c>
      <c r="M45" s="22"/>
      <c r="N45" s="22"/>
      <c r="O45" s="22"/>
      <c r="Q45" s="96">
        <v>335680.08</v>
      </c>
      <c r="R45" s="16">
        <v>335680.08</v>
      </c>
      <c r="S45" s="103"/>
      <c r="U45" s="114"/>
      <c r="W45" s="119"/>
      <c r="Y45" s="87"/>
      <c r="Z45" s="87"/>
      <c r="AA45" s="87"/>
      <c r="AB45" s="87"/>
    </row>
    <row r="46" spans="1:129" ht="15.75" x14ac:dyDescent="0.25">
      <c r="A46" s="19">
        <v>4697</v>
      </c>
      <c r="B46" s="18" t="s">
        <v>106</v>
      </c>
      <c r="C46" s="17" t="s">
        <v>22</v>
      </c>
      <c r="D46" s="17" t="s">
        <v>7</v>
      </c>
      <c r="E46" s="92" t="s">
        <v>28</v>
      </c>
      <c r="G46" s="108" t="s">
        <v>29</v>
      </c>
      <c r="H46" s="20" t="s">
        <v>383</v>
      </c>
      <c r="I46" s="20"/>
      <c r="K46" s="22"/>
      <c r="L46" s="22">
        <v>45981</v>
      </c>
      <c r="M46" s="22"/>
      <c r="N46" s="22"/>
      <c r="O46" s="22"/>
      <c r="Q46" s="97">
        <v>242119.37</v>
      </c>
      <c r="R46" s="21">
        <v>242119.37</v>
      </c>
      <c r="S46" s="104"/>
      <c r="U46" s="114"/>
      <c r="W46" s="119"/>
      <c r="Y46" s="87"/>
      <c r="Z46" s="87"/>
      <c r="AA46" s="87"/>
      <c r="AB46" s="87"/>
    </row>
    <row r="47" spans="1:129" ht="15.75" x14ac:dyDescent="0.25">
      <c r="A47" s="14">
        <v>1147</v>
      </c>
      <c r="B47" s="13" t="s">
        <v>108</v>
      </c>
      <c r="C47" s="8" t="s">
        <v>22</v>
      </c>
      <c r="D47" s="8" t="s">
        <v>7</v>
      </c>
      <c r="E47" s="91" t="s">
        <v>28</v>
      </c>
      <c r="G47" s="107" t="s">
        <v>29</v>
      </c>
      <c r="H47" s="15">
        <v>0</v>
      </c>
      <c r="I47" s="15"/>
      <c r="K47" s="22"/>
      <c r="L47" s="22">
        <v>45923</v>
      </c>
      <c r="M47" s="22"/>
      <c r="N47" s="22"/>
      <c r="O47" s="22"/>
      <c r="Q47" s="96">
        <v>134470.67000000001</v>
      </c>
      <c r="R47" s="16">
        <v>134470.67000000001</v>
      </c>
      <c r="S47" s="103"/>
      <c r="U47" s="114"/>
      <c r="W47" s="119"/>
      <c r="Y47" s="87"/>
      <c r="Z47" s="87"/>
      <c r="AA47" s="87"/>
      <c r="AB47" s="87"/>
    </row>
    <row r="48" spans="1:129" ht="15.75" x14ac:dyDescent="0.25">
      <c r="A48" s="19">
        <v>2776</v>
      </c>
      <c r="B48" s="18" t="s">
        <v>110</v>
      </c>
      <c r="C48" s="17" t="s">
        <v>10</v>
      </c>
      <c r="D48" s="17" t="s">
        <v>7</v>
      </c>
      <c r="E48" s="92" t="s">
        <v>15</v>
      </c>
      <c r="G48" s="108" t="s">
        <v>12</v>
      </c>
      <c r="H48" s="20"/>
      <c r="I48" s="20"/>
      <c r="K48" s="22"/>
      <c r="L48" s="22">
        <v>45859</v>
      </c>
      <c r="M48" s="22"/>
      <c r="N48" s="22"/>
      <c r="O48" s="22"/>
      <c r="Q48" s="97">
        <v>103704.85</v>
      </c>
      <c r="R48" s="21">
        <v>103704.85</v>
      </c>
      <c r="S48" s="104"/>
      <c r="U48" s="114"/>
      <c r="W48" s="119"/>
      <c r="Y48" s="87"/>
      <c r="Z48" s="87"/>
      <c r="AA48" s="87"/>
      <c r="AB48" s="87"/>
    </row>
    <row r="49" spans="1:289" ht="15.75" x14ac:dyDescent="0.25">
      <c r="A49" s="14">
        <v>1578</v>
      </c>
      <c r="B49" s="13" t="s">
        <v>112</v>
      </c>
      <c r="C49" s="8" t="s">
        <v>22</v>
      </c>
      <c r="D49" s="8" t="s">
        <v>7</v>
      </c>
      <c r="E49" s="91" t="s">
        <v>32</v>
      </c>
      <c r="G49" s="107" t="s">
        <v>19</v>
      </c>
      <c r="H49" s="15"/>
      <c r="I49" s="15"/>
      <c r="K49" s="22"/>
      <c r="L49" s="22">
        <v>45855</v>
      </c>
      <c r="M49" s="22"/>
      <c r="N49" s="22"/>
      <c r="O49" s="22"/>
      <c r="Q49" s="96">
        <v>83981.11</v>
      </c>
      <c r="R49" s="16">
        <v>83981.11</v>
      </c>
      <c r="S49" s="103"/>
      <c r="U49" s="114"/>
      <c r="W49" s="119"/>
      <c r="Y49" s="87"/>
      <c r="Z49" s="87"/>
      <c r="AA49" s="87"/>
      <c r="AB49" s="87"/>
    </row>
    <row r="50" spans="1:289" ht="15.75" x14ac:dyDescent="0.25">
      <c r="A50" s="19">
        <v>7947</v>
      </c>
      <c r="B50" s="18" t="s">
        <v>114</v>
      </c>
      <c r="C50" s="17" t="s">
        <v>22</v>
      </c>
      <c r="D50" s="17" t="s">
        <v>7</v>
      </c>
      <c r="E50" s="92" t="s">
        <v>32</v>
      </c>
      <c r="G50" s="108" t="s">
        <v>19</v>
      </c>
      <c r="H50" s="20"/>
      <c r="I50" s="20"/>
      <c r="K50" s="22"/>
      <c r="L50" s="22">
        <v>45467</v>
      </c>
      <c r="M50" s="22"/>
      <c r="N50" s="22"/>
      <c r="O50" s="22"/>
      <c r="Q50" s="97">
        <v>60000</v>
      </c>
      <c r="R50" s="21">
        <v>60000</v>
      </c>
      <c r="S50" s="104"/>
      <c r="U50" s="114"/>
      <c r="W50" s="119"/>
      <c r="Y50" s="87"/>
      <c r="Z50" s="87"/>
      <c r="AA50" s="87"/>
      <c r="AB50" s="87"/>
    </row>
    <row r="51" spans="1:289" ht="90" x14ac:dyDescent="0.25">
      <c r="A51" s="14">
        <v>5135</v>
      </c>
      <c r="B51" s="13" t="s">
        <v>116</v>
      </c>
      <c r="C51" s="8" t="s">
        <v>10</v>
      </c>
      <c r="D51" s="8" t="s">
        <v>7</v>
      </c>
      <c r="E51" s="91" t="s">
        <v>44</v>
      </c>
      <c r="G51" s="107" t="s">
        <v>45</v>
      </c>
      <c r="H51" s="15" t="s">
        <v>324</v>
      </c>
      <c r="I51" s="15"/>
      <c r="K51" s="15"/>
      <c r="L51" s="15"/>
      <c r="M51" s="15"/>
      <c r="N51" s="15"/>
      <c r="O51" s="15"/>
      <c r="Q51" s="96">
        <v>483842.02</v>
      </c>
      <c r="R51" s="16">
        <v>483842.02</v>
      </c>
      <c r="S51" s="103"/>
      <c r="U51" s="114"/>
      <c r="W51" s="119" t="s">
        <v>389</v>
      </c>
      <c r="Y51" s="87"/>
      <c r="Z51" s="87"/>
      <c r="AA51" s="87"/>
      <c r="AB51" s="87"/>
    </row>
    <row r="52" spans="1:289" s="12" customFormat="1" ht="15.75" x14ac:dyDescent="0.25">
      <c r="A52" s="7">
        <v>8716</v>
      </c>
      <c r="B52" s="6" t="s">
        <v>118</v>
      </c>
      <c r="C52" s="5" t="s">
        <v>10</v>
      </c>
      <c r="D52" s="5" t="s">
        <v>7</v>
      </c>
      <c r="E52" s="90" t="s">
        <v>15</v>
      </c>
      <c r="F52" s="88"/>
      <c r="G52" s="106" t="s">
        <v>12</v>
      </c>
      <c r="H52" s="9"/>
      <c r="I52" s="9"/>
      <c r="J52" s="88"/>
      <c r="K52" s="9"/>
      <c r="L52" s="9">
        <v>45483</v>
      </c>
      <c r="M52" s="9"/>
      <c r="N52" s="9"/>
      <c r="O52" s="9"/>
      <c r="P52" s="88"/>
      <c r="Q52" s="95">
        <v>0</v>
      </c>
      <c r="R52" s="10">
        <v>0</v>
      </c>
      <c r="S52" s="102"/>
      <c r="T52" s="88"/>
      <c r="U52" s="114"/>
      <c r="V52" s="88"/>
      <c r="W52" s="119" t="s">
        <v>393</v>
      </c>
      <c r="X52" s="88"/>
      <c r="Y52" s="87"/>
      <c r="Z52" s="87"/>
      <c r="AA52" s="87"/>
      <c r="AB52" s="87"/>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row>
    <row r="53" spans="1:289" ht="90" x14ac:dyDescent="0.25">
      <c r="A53" s="14">
        <v>5256</v>
      </c>
      <c r="B53" s="13" t="s">
        <v>120</v>
      </c>
      <c r="C53" s="8" t="s">
        <v>22</v>
      </c>
      <c r="D53" s="8" t="s">
        <v>7</v>
      </c>
      <c r="E53" s="91" t="s">
        <v>23</v>
      </c>
      <c r="G53" s="107" t="s">
        <v>19</v>
      </c>
      <c r="H53" s="15" t="s">
        <v>298</v>
      </c>
      <c r="I53" s="15"/>
      <c r="K53" s="15"/>
      <c r="L53" s="15"/>
      <c r="M53" s="15"/>
      <c r="N53" s="15"/>
      <c r="O53" s="15"/>
      <c r="Q53" s="96">
        <v>79158.44</v>
      </c>
      <c r="R53" s="16">
        <v>79158.44</v>
      </c>
      <c r="S53" s="103"/>
      <c r="U53" s="114"/>
      <c r="W53" s="119" t="s">
        <v>395</v>
      </c>
      <c r="Y53" s="87"/>
      <c r="Z53" s="87"/>
      <c r="AA53" s="87"/>
      <c r="AB53" s="87"/>
    </row>
    <row r="54" spans="1:289" ht="15.75" x14ac:dyDescent="0.25">
      <c r="A54" s="7">
        <v>8910</v>
      </c>
      <c r="B54" s="6" t="s">
        <v>122</v>
      </c>
      <c r="C54" s="5" t="s">
        <v>22</v>
      </c>
      <c r="D54" s="5" t="s">
        <v>7</v>
      </c>
      <c r="E54" s="90" t="s">
        <v>23</v>
      </c>
      <c r="G54" s="106" t="s">
        <v>19</v>
      </c>
      <c r="H54" s="9">
        <v>0</v>
      </c>
      <c r="I54" s="9"/>
      <c r="K54" s="9"/>
      <c r="L54" s="9">
        <v>45477</v>
      </c>
      <c r="M54" s="9"/>
      <c r="N54" s="9"/>
      <c r="O54" s="9"/>
      <c r="Q54" s="95">
        <v>0</v>
      </c>
      <c r="R54" s="10">
        <v>0</v>
      </c>
      <c r="S54" s="102"/>
      <c r="U54" s="114"/>
      <c r="W54" s="119"/>
      <c r="Y54" s="87"/>
      <c r="Z54" s="87"/>
      <c r="AA54" s="87"/>
      <c r="AB54" s="87"/>
    </row>
    <row r="55" spans="1:289" ht="150" x14ac:dyDescent="0.25">
      <c r="A55" s="14">
        <v>5257</v>
      </c>
      <c r="B55" s="13" t="s">
        <v>124</v>
      </c>
      <c r="C55" s="8" t="s">
        <v>10</v>
      </c>
      <c r="D55" s="8" t="s">
        <v>7</v>
      </c>
      <c r="E55" s="91" t="s">
        <v>44</v>
      </c>
      <c r="G55" s="107" t="s">
        <v>45</v>
      </c>
      <c r="H55" s="15" t="s">
        <v>324</v>
      </c>
      <c r="I55" s="15"/>
      <c r="K55" s="15"/>
      <c r="L55" s="15"/>
      <c r="M55" s="15"/>
      <c r="N55" s="15"/>
      <c r="O55" s="15"/>
      <c r="Q55" s="96">
        <v>252186.87</v>
      </c>
      <c r="R55" s="16">
        <v>252186.87</v>
      </c>
      <c r="S55" s="103"/>
      <c r="U55" s="114"/>
      <c r="W55" s="119" t="s">
        <v>403</v>
      </c>
      <c r="Y55" s="87"/>
      <c r="Z55" s="87"/>
      <c r="AA55" s="87"/>
      <c r="AB55" s="87"/>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row>
    <row r="56" spans="1:289" ht="90" x14ac:dyDescent="0.25">
      <c r="A56" s="19">
        <v>3531</v>
      </c>
      <c r="B56" s="18" t="s">
        <v>126</v>
      </c>
      <c r="C56" s="17" t="s">
        <v>10</v>
      </c>
      <c r="D56" s="17" t="s">
        <v>7</v>
      </c>
      <c r="E56" s="92" t="s">
        <v>44</v>
      </c>
      <c r="G56" s="108" t="s">
        <v>45</v>
      </c>
      <c r="H56" s="20" t="s">
        <v>324</v>
      </c>
      <c r="I56" s="20"/>
      <c r="K56" s="20"/>
      <c r="L56" s="20"/>
      <c r="M56" s="20"/>
      <c r="N56" s="20"/>
      <c r="O56" s="20"/>
      <c r="Q56" s="97">
        <v>396409.09</v>
      </c>
      <c r="R56" s="21">
        <v>396409.09</v>
      </c>
      <c r="S56" s="104"/>
      <c r="U56" s="114"/>
      <c r="W56" s="119" t="s">
        <v>409</v>
      </c>
      <c r="Y56" s="87"/>
      <c r="Z56" s="87"/>
      <c r="AA56" s="87"/>
      <c r="AB56" s="87"/>
    </row>
    <row r="57" spans="1:289" ht="15.75" x14ac:dyDescent="0.25">
      <c r="A57" s="14">
        <v>769</v>
      </c>
      <c r="B57" s="13" t="s">
        <v>128</v>
      </c>
      <c r="C57" s="8" t="s">
        <v>22</v>
      </c>
      <c r="D57" s="8" t="s">
        <v>7</v>
      </c>
      <c r="E57" s="91" t="s">
        <v>35</v>
      </c>
      <c r="G57" s="107" t="s">
        <v>36</v>
      </c>
      <c r="H57" s="15"/>
      <c r="I57" s="15"/>
      <c r="K57" s="22"/>
      <c r="L57" s="22">
        <v>45936</v>
      </c>
      <c r="M57" s="22"/>
      <c r="N57" s="22"/>
      <c r="O57" s="22"/>
      <c r="Q57" s="96">
        <v>253992.63</v>
      </c>
      <c r="R57" s="16">
        <v>253992.63</v>
      </c>
      <c r="S57" s="103"/>
      <c r="U57" s="114"/>
      <c r="W57" s="119"/>
      <c r="Y57" s="87"/>
      <c r="Z57" s="87"/>
      <c r="AA57" s="87"/>
      <c r="AB57" s="87"/>
    </row>
    <row r="58" spans="1:289" ht="15.75" x14ac:dyDescent="0.25">
      <c r="A58" s="19">
        <v>5393</v>
      </c>
      <c r="B58" s="18" t="s">
        <v>130</v>
      </c>
      <c r="C58" s="17" t="s">
        <v>10</v>
      </c>
      <c r="D58" s="17" t="s">
        <v>7</v>
      </c>
      <c r="E58" s="92" t="s">
        <v>15</v>
      </c>
      <c r="G58" s="108" t="s">
        <v>12</v>
      </c>
      <c r="H58" s="20"/>
      <c r="I58" s="20"/>
      <c r="K58" s="22"/>
      <c r="L58" s="22">
        <v>45908</v>
      </c>
      <c r="M58" s="22"/>
      <c r="N58" s="22"/>
      <c r="O58" s="22"/>
      <c r="Q58" s="97">
        <v>193011.66</v>
      </c>
      <c r="R58" s="21">
        <v>193011.66</v>
      </c>
      <c r="S58" s="104"/>
      <c r="U58" s="114"/>
      <c r="W58" s="119"/>
      <c r="Y58" s="87"/>
      <c r="Z58" s="87"/>
      <c r="AA58" s="87"/>
      <c r="AB58" s="87"/>
    </row>
    <row r="59" spans="1:289" ht="15.75" x14ac:dyDescent="0.25">
      <c r="A59" s="14">
        <v>1120</v>
      </c>
      <c r="B59" s="13" t="s">
        <v>132</v>
      </c>
      <c r="C59" s="8" t="s">
        <v>10</v>
      </c>
      <c r="D59" s="8" t="s">
        <v>7</v>
      </c>
      <c r="E59" s="91" t="s">
        <v>39</v>
      </c>
      <c r="G59" s="107" t="s">
        <v>12</v>
      </c>
      <c r="H59" s="15"/>
      <c r="I59" s="15"/>
      <c r="K59" s="22"/>
      <c r="L59" s="22">
        <v>45993</v>
      </c>
      <c r="M59" s="22"/>
      <c r="N59" s="22"/>
      <c r="O59" s="22"/>
      <c r="Q59" s="96">
        <v>217599.43</v>
      </c>
      <c r="R59" s="16">
        <v>217599.43</v>
      </c>
      <c r="S59" s="103"/>
      <c r="U59" s="114"/>
      <c r="W59" s="119"/>
      <c r="Y59" s="87"/>
      <c r="Z59" s="87"/>
      <c r="AA59" s="87"/>
      <c r="AB59" s="87"/>
    </row>
    <row r="60" spans="1:289" ht="15.75" x14ac:dyDescent="0.25">
      <c r="A60" s="19">
        <v>1231</v>
      </c>
      <c r="B60" s="18" t="s">
        <v>134</v>
      </c>
      <c r="C60" s="17" t="s">
        <v>10</v>
      </c>
      <c r="D60" s="17" t="s">
        <v>7</v>
      </c>
      <c r="E60" s="92" t="s">
        <v>39</v>
      </c>
      <c r="G60" s="108" t="s">
        <v>12</v>
      </c>
      <c r="H60" s="20"/>
      <c r="I60" s="20"/>
      <c r="K60" s="22"/>
      <c r="L60" s="22">
        <v>45993</v>
      </c>
      <c r="M60" s="22"/>
      <c r="N60" s="22"/>
      <c r="O60" s="22"/>
      <c r="Q60" s="97">
        <v>60939.5</v>
      </c>
      <c r="R60" s="21">
        <v>60939.5</v>
      </c>
      <c r="S60" s="104"/>
      <c r="U60" s="114"/>
      <c r="W60" s="119"/>
      <c r="Y60" s="87"/>
      <c r="Z60" s="87"/>
      <c r="AA60" s="87"/>
      <c r="AB60" s="87"/>
    </row>
    <row r="61" spans="1:289" s="12" customFormat="1" ht="45" x14ac:dyDescent="0.25">
      <c r="A61" s="14">
        <v>5521</v>
      </c>
      <c r="B61" s="13" t="s">
        <v>136</v>
      </c>
      <c r="C61" s="8" t="s">
        <v>10</v>
      </c>
      <c r="D61" s="8" t="s">
        <v>7</v>
      </c>
      <c r="E61" s="91" t="s">
        <v>18</v>
      </c>
      <c r="F61" s="88"/>
      <c r="G61" s="107" t="s">
        <v>19</v>
      </c>
      <c r="H61" s="15" t="s">
        <v>286</v>
      </c>
      <c r="I61" s="15"/>
      <c r="J61" s="88"/>
      <c r="K61" s="15"/>
      <c r="L61" s="15"/>
      <c r="M61" s="15"/>
      <c r="N61" s="15"/>
      <c r="O61" s="15"/>
      <c r="P61" s="88"/>
      <c r="Q61" s="96">
        <v>178986.04</v>
      </c>
      <c r="R61" s="16">
        <v>178986.04</v>
      </c>
      <c r="S61" s="103"/>
      <c r="T61" s="88"/>
      <c r="U61" s="114"/>
      <c r="V61" s="88"/>
      <c r="W61" s="119" t="s">
        <v>415</v>
      </c>
      <c r="X61" s="88"/>
      <c r="Y61" s="87"/>
      <c r="Z61" s="87"/>
      <c r="AA61" s="87"/>
      <c r="AB61" s="87"/>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c r="JL61" s="11"/>
      <c r="JM61" s="11"/>
      <c r="JN61" s="11"/>
      <c r="JO61" s="11"/>
      <c r="JP61" s="11"/>
      <c r="JQ61" s="11"/>
      <c r="JR61" s="11"/>
      <c r="JS61" s="11"/>
      <c r="JT61" s="11"/>
      <c r="JU61" s="11"/>
      <c r="JV61" s="11"/>
      <c r="JW61" s="11"/>
      <c r="JX61" s="11"/>
      <c r="JY61" s="11"/>
      <c r="JZ61" s="11"/>
      <c r="KA61" s="11"/>
      <c r="KB61" s="11"/>
      <c r="KC61" s="11"/>
    </row>
    <row r="62" spans="1:289" ht="15.75" x14ac:dyDescent="0.25">
      <c r="A62" s="19">
        <v>7108</v>
      </c>
      <c r="B62" s="18" t="s">
        <v>138</v>
      </c>
      <c r="C62" s="17" t="s">
        <v>10</v>
      </c>
      <c r="D62" s="17" t="s">
        <v>7</v>
      </c>
      <c r="E62" s="92" t="s">
        <v>18</v>
      </c>
      <c r="G62" s="108" t="s">
        <v>19</v>
      </c>
      <c r="H62" s="20" t="s">
        <v>286</v>
      </c>
      <c r="I62" s="20"/>
      <c r="K62" s="22"/>
      <c r="L62" s="22">
        <v>45981</v>
      </c>
      <c r="M62" s="22"/>
      <c r="N62" s="22"/>
      <c r="O62" s="22"/>
      <c r="Q62" s="97">
        <v>152161.62</v>
      </c>
      <c r="R62" s="21">
        <v>152161.62</v>
      </c>
      <c r="S62" s="104"/>
      <c r="U62" s="114"/>
      <c r="W62" s="119"/>
      <c r="Y62" s="87"/>
      <c r="Z62" s="87"/>
      <c r="AA62" s="87"/>
      <c r="AB62" s="87"/>
    </row>
    <row r="63" spans="1:289" ht="15.75" x14ac:dyDescent="0.25">
      <c r="A63" s="14">
        <v>1604</v>
      </c>
      <c r="B63" s="13" t="s">
        <v>140</v>
      </c>
      <c r="C63" s="8" t="s">
        <v>10</v>
      </c>
      <c r="D63" s="8" t="s">
        <v>7</v>
      </c>
      <c r="E63" s="91" t="s">
        <v>11</v>
      </c>
      <c r="G63" s="107" t="s">
        <v>12</v>
      </c>
      <c r="H63" s="15"/>
      <c r="I63" s="15"/>
      <c r="K63" s="22"/>
      <c r="L63" s="22">
        <v>45867</v>
      </c>
      <c r="M63" s="22"/>
      <c r="N63" s="22"/>
      <c r="O63" s="22"/>
      <c r="Q63" s="96">
        <v>516264</v>
      </c>
      <c r="R63" s="16">
        <v>516264</v>
      </c>
      <c r="S63" s="103"/>
      <c r="U63" s="114"/>
      <c r="W63" s="119"/>
      <c r="Y63" s="87"/>
      <c r="Z63" s="87"/>
      <c r="AA63" s="87"/>
      <c r="AB63" s="87"/>
    </row>
    <row r="64" spans="1:289" ht="15.75" x14ac:dyDescent="0.25">
      <c r="A64" s="19">
        <v>2586</v>
      </c>
      <c r="B64" s="18" t="s">
        <v>142</v>
      </c>
      <c r="C64" s="17" t="s">
        <v>10</v>
      </c>
      <c r="D64" s="17" t="s">
        <v>7</v>
      </c>
      <c r="E64" s="92" t="s">
        <v>11</v>
      </c>
      <c r="G64" s="108" t="s">
        <v>12</v>
      </c>
      <c r="H64" s="20"/>
      <c r="I64" s="20"/>
      <c r="K64" s="22"/>
      <c r="L64" s="22">
        <v>45895</v>
      </c>
      <c r="M64" s="22"/>
      <c r="N64" s="22"/>
      <c r="O64" s="22"/>
      <c r="Q64" s="97">
        <v>147237.6</v>
      </c>
      <c r="R64" s="21">
        <v>147237.6</v>
      </c>
      <c r="S64" s="104"/>
      <c r="U64" s="114"/>
      <c r="W64" s="119"/>
      <c r="Y64" s="87"/>
      <c r="Z64" s="87"/>
      <c r="AA64" s="87"/>
      <c r="AB64" s="87"/>
    </row>
    <row r="65" spans="1:289" ht="120" x14ac:dyDescent="0.25">
      <c r="A65" s="14">
        <v>4669</v>
      </c>
      <c r="B65" s="13" t="s">
        <v>144</v>
      </c>
      <c r="C65" s="8" t="s">
        <v>10</v>
      </c>
      <c r="D65" s="8" t="s">
        <v>7</v>
      </c>
      <c r="E65" s="91" t="s">
        <v>11</v>
      </c>
      <c r="G65" s="107" t="s">
        <v>12</v>
      </c>
      <c r="H65" s="15" t="s">
        <v>420</v>
      </c>
      <c r="I65" s="15"/>
      <c r="K65" s="15"/>
      <c r="L65" s="15"/>
      <c r="M65" s="15"/>
      <c r="N65" s="15"/>
      <c r="O65" s="15"/>
      <c r="Q65" s="96">
        <v>139022.13</v>
      </c>
      <c r="R65" s="16">
        <v>139022.13</v>
      </c>
      <c r="S65" s="103"/>
      <c r="U65" s="114"/>
      <c r="W65" s="119" t="s">
        <v>423</v>
      </c>
      <c r="Y65" s="87"/>
      <c r="Z65" s="87"/>
      <c r="AA65" s="87"/>
      <c r="AB65" s="87"/>
    </row>
    <row r="66" spans="1:289" ht="195" x14ac:dyDescent="0.25">
      <c r="A66" s="19">
        <v>8015</v>
      </c>
      <c r="B66" s="18" t="s">
        <v>146</v>
      </c>
      <c r="C66" s="17" t="s">
        <v>22</v>
      </c>
      <c r="D66" s="17" t="s">
        <v>7</v>
      </c>
      <c r="E66" s="92" t="s">
        <v>32</v>
      </c>
      <c r="G66" s="108" t="s">
        <v>19</v>
      </c>
      <c r="H66" s="20" t="s">
        <v>335</v>
      </c>
      <c r="I66" s="20"/>
      <c r="K66" s="20"/>
      <c r="L66" s="20"/>
      <c r="M66" s="20"/>
      <c r="N66" s="20"/>
      <c r="O66" s="20"/>
      <c r="Q66" s="97">
        <v>166040.65</v>
      </c>
      <c r="R66" s="21">
        <v>166040.65</v>
      </c>
      <c r="S66" s="104"/>
      <c r="U66" s="114"/>
      <c r="W66" s="119" t="s">
        <v>427</v>
      </c>
      <c r="Y66" s="87"/>
      <c r="Z66" s="87"/>
      <c r="AA66" s="87"/>
      <c r="AB66" s="87"/>
    </row>
    <row r="67" spans="1:289" ht="15.75" x14ac:dyDescent="0.25">
      <c r="A67" s="7">
        <v>430</v>
      </c>
      <c r="B67" s="6" t="s">
        <v>148</v>
      </c>
      <c r="C67" s="8" t="s">
        <v>22</v>
      </c>
      <c r="D67" s="5" t="s">
        <v>7</v>
      </c>
      <c r="E67" s="90" t="s">
        <v>23</v>
      </c>
      <c r="G67" s="106" t="s">
        <v>19</v>
      </c>
      <c r="H67" s="9"/>
      <c r="I67" s="9"/>
      <c r="K67" s="9"/>
      <c r="L67" s="9">
        <v>45490</v>
      </c>
      <c r="M67" s="9"/>
      <c r="N67" s="9"/>
      <c r="O67" s="9"/>
      <c r="Q67" s="95">
        <v>333538.8</v>
      </c>
      <c r="R67" s="10">
        <v>333538.8</v>
      </c>
      <c r="S67" s="102"/>
      <c r="U67" s="114"/>
      <c r="W67" s="119"/>
      <c r="Y67" s="87"/>
      <c r="Z67" s="87"/>
      <c r="AA67" s="87"/>
      <c r="AB67" s="87"/>
    </row>
    <row r="68" spans="1:289" ht="90" x14ac:dyDescent="0.25">
      <c r="A68" s="19">
        <v>8030</v>
      </c>
      <c r="B68" s="18" t="s">
        <v>150</v>
      </c>
      <c r="C68" s="17" t="s">
        <v>10</v>
      </c>
      <c r="D68" s="17" t="s">
        <v>7</v>
      </c>
      <c r="E68" s="92" t="s">
        <v>62</v>
      </c>
      <c r="G68" s="108" t="s">
        <v>36</v>
      </c>
      <c r="H68" s="20" t="s">
        <v>353</v>
      </c>
      <c r="I68" s="20"/>
      <c r="K68" s="20"/>
      <c r="L68" s="20"/>
      <c r="M68" s="20"/>
      <c r="N68" s="20"/>
      <c r="O68" s="20"/>
      <c r="Q68" s="97">
        <v>728758.56499999994</v>
      </c>
      <c r="R68" s="21">
        <v>728758.56499999994</v>
      </c>
      <c r="S68" s="104"/>
      <c r="U68" s="114"/>
      <c r="W68" s="119" t="s">
        <v>434</v>
      </c>
      <c r="Y68" s="87"/>
      <c r="Z68" s="87"/>
      <c r="AA68" s="87"/>
      <c r="AB68" s="87"/>
    </row>
    <row r="69" spans="1:289" ht="30" x14ac:dyDescent="0.25">
      <c r="A69" s="14">
        <v>4955</v>
      </c>
      <c r="B69" s="13" t="s">
        <v>152</v>
      </c>
      <c r="C69" s="8" t="s">
        <v>10</v>
      </c>
      <c r="D69" s="8" t="s">
        <v>7</v>
      </c>
      <c r="E69" s="91" t="s">
        <v>62</v>
      </c>
      <c r="G69" s="107" t="s">
        <v>36</v>
      </c>
      <c r="H69" s="15" t="s">
        <v>353</v>
      </c>
      <c r="I69" s="15"/>
      <c r="K69" s="15"/>
      <c r="L69" s="15"/>
      <c r="M69" s="15"/>
      <c r="N69" s="15"/>
      <c r="O69" s="15"/>
      <c r="Q69" s="96">
        <v>351967.20600000001</v>
      </c>
      <c r="R69" s="16">
        <v>351967.20600000001</v>
      </c>
      <c r="S69" s="103"/>
      <c r="U69" s="114"/>
      <c r="W69" s="119" t="s">
        <v>438</v>
      </c>
      <c r="Y69" s="87"/>
      <c r="Z69" s="87"/>
      <c r="AA69" s="87"/>
      <c r="AB69" s="87"/>
    </row>
    <row r="70" spans="1:289" ht="180" x14ac:dyDescent="0.25">
      <c r="A70" s="19">
        <v>1739</v>
      </c>
      <c r="B70" s="18" t="s">
        <v>154</v>
      </c>
      <c r="C70" s="17" t="s">
        <v>22</v>
      </c>
      <c r="D70" s="17" t="s">
        <v>7</v>
      </c>
      <c r="E70" s="92" t="s">
        <v>55</v>
      </c>
      <c r="G70" s="108" t="s">
        <v>19</v>
      </c>
      <c r="H70" s="20" t="s">
        <v>335</v>
      </c>
      <c r="I70" s="20"/>
      <c r="K70" s="20"/>
      <c r="L70" s="20"/>
      <c r="M70" s="20"/>
      <c r="N70" s="20"/>
      <c r="O70" s="20"/>
      <c r="Q70" s="97">
        <v>299300.69</v>
      </c>
      <c r="R70" s="21">
        <v>299300.69</v>
      </c>
      <c r="S70" s="104"/>
      <c r="U70" s="114"/>
      <c r="W70" s="119" t="s">
        <v>443</v>
      </c>
      <c r="Y70" s="87"/>
      <c r="Z70" s="87"/>
      <c r="AA70" s="87"/>
      <c r="AB70" s="87"/>
    </row>
    <row r="71" spans="1:289" ht="15.75" x14ac:dyDescent="0.25">
      <c r="A71" s="14">
        <v>8050</v>
      </c>
      <c r="B71" s="13" t="s">
        <v>156</v>
      </c>
      <c r="C71" s="8" t="s">
        <v>10</v>
      </c>
      <c r="D71" s="8" t="s">
        <v>7</v>
      </c>
      <c r="E71" s="91" t="s">
        <v>15</v>
      </c>
      <c r="G71" s="107" t="s">
        <v>12</v>
      </c>
      <c r="H71" s="15"/>
      <c r="I71" s="15"/>
      <c r="K71" s="22"/>
      <c r="L71" s="22">
        <v>45898</v>
      </c>
      <c r="M71" s="22"/>
      <c r="N71" s="22"/>
      <c r="O71" s="22"/>
      <c r="Q71" s="96">
        <v>232000</v>
      </c>
      <c r="R71" s="16">
        <v>232000</v>
      </c>
      <c r="S71" s="103"/>
      <c r="U71" s="114"/>
      <c r="W71" s="119"/>
      <c r="Y71" s="87"/>
      <c r="Z71" s="87"/>
      <c r="AA71" s="87"/>
      <c r="AB71" s="87"/>
    </row>
    <row r="72" spans="1:289" ht="15.75" x14ac:dyDescent="0.25">
      <c r="A72" s="19">
        <v>2327</v>
      </c>
      <c r="B72" s="18" t="s">
        <v>158</v>
      </c>
      <c r="C72" s="17" t="s">
        <v>10</v>
      </c>
      <c r="D72" s="17" t="s">
        <v>7</v>
      </c>
      <c r="E72" s="92" t="s">
        <v>79</v>
      </c>
      <c r="G72" s="108" t="s">
        <v>12</v>
      </c>
      <c r="H72" s="20"/>
      <c r="I72" s="20"/>
      <c r="K72" s="22"/>
      <c r="L72" s="22">
        <v>45769</v>
      </c>
      <c r="M72" s="22"/>
      <c r="N72" s="22"/>
      <c r="O72" s="22"/>
      <c r="Q72" s="97">
        <v>42139.95</v>
      </c>
      <c r="R72" s="21">
        <v>42139.95</v>
      </c>
      <c r="S72" s="104"/>
      <c r="U72" s="114"/>
      <c r="W72" s="119"/>
      <c r="Y72" s="87"/>
      <c r="Z72" s="87"/>
      <c r="AA72" s="87"/>
      <c r="AB72" s="87"/>
    </row>
    <row r="73" spans="1:289" ht="15.75" x14ac:dyDescent="0.25">
      <c r="A73" s="14">
        <v>4117</v>
      </c>
      <c r="B73" s="13" t="s">
        <v>160</v>
      </c>
      <c r="C73" s="8" t="s">
        <v>22</v>
      </c>
      <c r="D73" s="8" t="s">
        <v>7</v>
      </c>
      <c r="E73" s="91" t="s">
        <v>35</v>
      </c>
      <c r="G73" s="107" t="s">
        <v>36</v>
      </c>
      <c r="H73" s="15"/>
      <c r="I73" s="15"/>
      <c r="K73" s="22"/>
      <c r="L73" s="22">
        <v>45875</v>
      </c>
      <c r="M73" s="22"/>
      <c r="N73" s="22"/>
      <c r="O73" s="22"/>
      <c r="Q73" s="96">
        <v>56567.8</v>
      </c>
      <c r="R73" s="16">
        <v>56567.8</v>
      </c>
      <c r="S73" s="103"/>
      <c r="U73" s="114"/>
      <c r="W73" s="119"/>
      <c r="Y73" s="87"/>
      <c r="Z73" s="87"/>
      <c r="AA73" s="87"/>
      <c r="AB73" s="87"/>
    </row>
    <row r="74" spans="1:289" ht="15.75" x14ac:dyDescent="0.25">
      <c r="A74" s="19">
        <v>5568</v>
      </c>
      <c r="B74" s="18" t="s">
        <v>162</v>
      </c>
      <c r="C74" s="17" t="s">
        <v>10</v>
      </c>
      <c r="D74" s="17" t="s">
        <v>7</v>
      </c>
      <c r="E74" s="92" t="s">
        <v>15</v>
      </c>
      <c r="G74" s="108" t="s">
        <v>12</v>
      </c>
      <c r="H74" s="20"/>
      <c r="I74" s="20"/>
      <c r="K74" s="22"/>
      <c r="L74" s="22">
        <v>45890</v>
      </c>
      <c r="M74" s="22"/>
      <c r="N74" s="22"/>
      <c r="O74" s="22"/>
      <c r="Q74" s="97">
        <v>65530.8</v>
      </c>
      <c r="R74" s="21">
        <v>65530.8</v>
      </c>
      <c r="S74" s="104"/>
      <c r="U74" s="114"/>
      <c r="W74" s="119"/>
      <c r="Y74" s="87"/>
      <c r="Z74" s="87"/>
      <c r="AA74" s="87"/>
      <c r="AB74" s="87"/>
    </row>
    <row r="75" spans="1:289" ht="15.75" x14ac:dyDescent="0.25">
      <c r="A75" s="14">
        <v>4975</v>
      </c>
      <c r="B75" s="13" t="s">
        <v>164</v>
      </c>
      <c r="C75" s="8" t="s">
        <v>10</v>
      </c>
      <c r="D75" s="8" t="s">
        <v>7</v>
      </c>
      <c r="E75" s="91" t="s">
        <v>15</v>
      </c>
      <c r="G75" s="107" t="s">
        <v>12</v>
      </c>
      <c r="H75" s="15"/>
      <c r="I75" s="15"/>
      <c r="K75" s="22"/>
      <c r="L75" s="22">
        <v>45890</v>
      </c>
      <c r="M75" s="22"/>
      <c r="N75" s="22"/>
      <c r="O75" s="22"/>
      <c r="Q75" s="96">
        <v>149236.75</v>
      </c>
      <c r="R75" s="16">
        <v>149236.75</v>
      </c>
      <c r="S75" s="103"/>
      <c r="U75" s="114"/>
      <c r="W75" s="119"/>
      <c r="Y75" s="87"/>
      <c r="Z75" s="87"/>
      <c r="AA75" s="87"/>
      <c r="AB75" s="87"/>
    </row>
    <row r="76" spans="1:289" s="12" customFormat="1" ht="30" x14ac:dyDescent="0.25">
      <c r="A76" s="19">
        <v>5205</v>
      </c>
      <c r="B76" s="18" t="s">
        <v>166</v>
      </c>
      <c r="C76" s="17" t="s">
        <v>10</v>
      </c>
      <c r="D76" s="17" t="s">
        <v>7</v>
      </c>
      <c r="E76" s="92" t="s">
        <v>18</v>
      </c>
      <c r="F76" s="88"/>
      <c r="G76" s="108" t="s">
        <v>19</v>
      </c>
      <c r="H76" s="20" t="s">
        <v>286</v>
      </c>
      <c r="I76" s="20"/>
      <c r="J76" s="88"/>
      <c r="K76" s="20"/>
      <c r="L76" s="20"/>
      <c r="M76" s="20"/>
      <c r="N76" s="20"/>
      <c r="O76" s="20"/>
      <c r="P76" s="88"/>
      <c r="Q76" s="97">
        <v>105367.33</v>
      </c>
      <c r="R76" s="21">
        <v>105367.33</v>
      </c>
      <c r="S76" s="104"/>
      <c r="T76" s="88"/>
      <c r="U76" s="114"/>
      <c r="V76" s="88"/>
      <c r="W76" s="119" t="s">
        <v>449</v>
      </c>
      <c r="X76" s="88"/>
      <c r="Y76" s="87"/>
      <c r="Z76" s="87"/>
      <c r="AA76" s="87"/>
      <c r="AB76" s="87"/>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c r="HI76" s="11"/>
      <c r="HJ76" s="11"/>
      <c r="HK76" s="11"/>
      <c r="HL76" s="11"/>
      <c r="HM76" s="11"/>
      <c r="HN76" s="11"/>
      <c r="HO76" s="11"/>
      <c r="HP76" s="11"/>
      <c r="HQ76" s="11"/>
      <c r="HR76" s="11"/>
      <c r="HS76" s="11"/>
      <c r="HT76" s="11"/>
      <c r="HU76" s="11"/>
      <c r="HV76" s="11"/>
      <c r="HW76" s="11"/>
      <c r="HX76" s="11"/>
      <c r="HY76" s="11"/>
      <c r="HZ76" s="11"/>
      <c r="IA76" s="11"/>
      <c r="IB76" s="11"/>
      <c r="IC76" s="11"/>
      <c r="ID76" s="11"/>
      <c r="IE76" s="11"/>
      <c r="IF76" s="11"/>
      <c r="IG76" s="11"/>
      <c r="IH76" s="11"/>
      <c r="II76" s="11"/>
      <c r="IJ76" s="11"/>
      <c r="IK76" s="11"/>
      <c r="IL76" s="11"/>
      <c r="IM76" s="11"/>
      <c r="IN76" s="11"/>
      <c r="IO76" s="11"/>
      <c r="IP76" s="11"/>
      <c r="IQ76" s="11"/>
      <c r="IR76" s="11"/>
      <c r="IS76" s="11"/>
      <c r="IT76" s="11"/>
      <c r="IU76" s="11"/>
      <c r="IV76" s="11"/>
      <c r="IW76" s="11"/>
      <c r="IX76" s="11"/>
      <c r="IY76" s="11"/>
      <c r="IZ76" s="11"/>
      <c r="JA76" s="11"/>
      <c r="JB76" s="11"/>
      <c r="JC76" s="11"/>
      <c r="JD76" s="11"/>
      <c r="JE76" s="11"/>
      <c r="JF76" s="11"/>
      <c r="JG76" s="11"/>
      <c r="JH76" s="11"/>
      <c r="JI76" s="11"/>
      <c r="JJ76" s="11"/>
      <c r="JK76" s="11"/>
      <c r="JL76" s="11"/>
      <c r="JM76" s="11"/>
      <c r="JN76" s="11"/>
      <c r="JO76" s="11"/>
      <c r="JP76" s="11"/>
      <c r="JQ76" s="11"/>
      <c r="JR76" s="11"/>
      <c r="JS76" s="11"/>
      <c r="JT76" s="11"/>
      <c r="JU76" s="11"/>
      <c r="JV76" s="11"/>
      <c r="JW76" s="11"/>
      <c r="JX76" s="11"/>
      <c r="JY76" s="11"/>
      <c r="JZ76" s="11"/>
      <c r="KA76" s="11"/>
      <c r="KB76" s="11"/>
      <c r="KC76" s="11"/>
    </row>
    <row r="77" spans="1:289" ht="15.75" x14ac:dyDescent="0.25">
      <c r="A77" s="14">
        <v>427</v>
      </c>
      <c r="B77" s="13" t="s">
        <v>168</v>
      </c>
      <c r="C77" s="8" t="s">
        <v>22</v>
      </c>
      <c r="D77" s="8" t="s">
        <v>7</v>
      </c>
      <c r="E77" s="91" t="s">
        <v>55</v>
      </c>
      <c r="G77" s="107" t="s">
        <v>19</v>
      </c>
      <c r="H77" s="15"/>
      <c r="I77" s="15"/>
      <c r="K77" s="22"/>
      <c r="L77" s="22">
        <v>45867</v>
      </c>
      <c r="M77" s="22"/>
      <c r="N77" s="22"/>
      <c r="O77" s="22"/>
      <c r="Q77" s="96">
        <v>113217.77</v>
      </c>
      <c r="R77" s="16">
        <v>113217.77</v>
      </c>
      <c r="S77" s="103"/>
      <c r="U77" s="114"/>
      <c r="W77" s="119"/>
      <c r="Y77" s="87"/>
      <c r="Z77" s="87"/>
      <c r="AA77" s="87"/>
      <c r="AB77" s="87"/>
    </row>
    <row r="78" spans="1:289" ht="15.75" x14ac:dyDescent="0.25">
      <c r="A78" s="19">
        <v>8102</v>
      </c>
      <c r="B78" s="18" t="s">
        <v>170</v>
      </c>
      <c r="C78" s="17" t="s">
        <v>10</v>
      </c>
      <c r="D78" s="17" t="s">
        <v>7</v>
      </c>
      <c r="E78" s="92" t="s">
        <v>79</v>
      </c>
      <c r="G78" s="108" t="s">
        <v>12</v>
      </c>
      <c r="H78" s="20"/>
      <c r="I78" s="20"/>
      <c r="K78" s="22"/>
      <c r="L78" s="22">
        <v>45897</v>
      </c>
      <c r="M78" s="22"/>
      <c r="N78" s="22"/>
      <c r="O78" s="22"/>
      <c r="Q78" s="97">
        <v>394738.81</v>
      </c>
      <c r="R78" s="21">
        <v>394738.81</v>
      </c>
      <c r="S78" s="104"/>
      <c r="U78" s="114"/>
      <c r="W78" s="119"/>
      <c r="Y78" s="87"/>
      <c r="Z78" s="87"/>
      <c r="AA78" s="87"/>
      <c r="AB78" s="87"/>
    </row>
    <row r="79" spans="1:289" ht="15.75" x14ac:dyDescent="0.25">
      <c r="A79" s="7">
        <v>2248</v>
      </c>
      <c r="B79" s="6" t="s">
        <v>172</v>
      </c>
      <c r="C79" s="5" t="s">
        <v>10</v>
      </c>
      <c r="D79" s="5" t="s">
        <v>7</v>
      </c>
      <c r="E79" s="90" t="s">
        <v>50</v>
      </c>
      <c r="G79" s="106" t="s">
        <v>36</v>
      </c>
      <c r="H79" s="9"/>
      <c r="I79" s="9"/>
      <c r="K79" s="9"/>
      <c r="L79" s="9">
        <v>45483</v>
      </c>
      <c r="M79" s="9"/>
      <c r="N79" s="9"/>
      <c r="O79" s="9"/>
      <c r="Q79" s="95">
        <v>2000</v>
      </c>
      <c r="R79" s="10">
        <v>2000</v>
      </c>
      <c r="S79" s="102"/>
      <c r="U79" s="114"/>
      <c r="W79" s="119"/>
      <c r="Y79" s="87"/>
      <c r="Z79" s="87"/>
      <c r="AA79" s="87"/>
      <c r="AB79" s="87"/>
    </row>
    <row r="80" spans="1:289" ht="15.75" x14ac:dyDescent="0.25">
      <c r="A80" s="19">
        <v>2103</v>
      </c>
      <c r="B80" s="18" t="s">
        <v>174</v>
      </c>
      <c r="C80" s="17" t="s">
        <v>22</v>
      </c>
      <c r="D80" s="17" t="s">
        <v>7</v>
      </c>
      <c r="E80" s="92" t="s">
        <v>55</v>
      </c>
      <c r="G80" s="108" t="s">
        <v>19</v>
      </c>
      <c r="H80" s="20"/>
      <c r="I80" s="20"/>
      <c r="K80" s="22"/>
      <c r="L80" s="22">
        <v>45776</v>
      </c>
      <c r="M80" s="22"/>
      <c r="N80" s="22"/>
      <c r="O80" s="22"/>
      <c r="Q80" s="97">
        <v>128938.31</v>
      </c>
      <c r="R80" s="21">
        <v>128938.31</v>
      </c>
      <c r="S80" s="104"/>
      <c r="U80" s="114"/>
      <c r="W80" s="119"/>
      <c r="Y80" s="87"/>
      <c r="Z80" s="87"/>
      <c r="AA80" s="87"/>
      <c r="AB80" s="87"/>
    </row>
    <row r="81" spans="1:289" ht="15.75" x14ac:dyDescent="0.25">
      <c r="A81" s="7">
        <v>5410</v>
      </c>
      <c r="B81" s="6" t="s">
        <v>176</v>
      </c>
      <c r="C81" s="5" t="s">
        <v>22</v>
      </c>
      <c r="D81" s="5" t="s">
        <v>7</v>
      </c>
      <c r="E81" s="90" t="s">
        <v>32</v>
      </c>
      <c r="G81" s="106" t="s">
        <v>19</v>
      </c>
      <c r="H81" s="9"/>
      <c r="I81" s="9"/>
      <c r="K81" s="9"/>
      <c r="L81" s="9">
        <v>45491</v>
      </c>
      <c r="M81" s="9"/>
      <c r="N81" s="9"/>
      <c r="O81" s="9"/>
      <c r="Q81" s="95">
        <v>1587.5</v>
      </c>
      <c r="R81" s="10">
        <v>1587.5</v>
      </c>
      <c r="S81" s="102"/>
      <c r="U81" s="114"/>
      <c r="W81" s="119"/>
      <c r="Y81" s="87"/>
      <c r="Z81" s="87"/>
      <c r="AA81" s="87"/>
      <c r="AB81" s="87"/>
    </row>
    <row r="82" spans="1:289" ht="180" x14ac:dyDescent="0.25">
      <c r="A82" s="19">
        <v>8865</v>
      </c>
      <c r="B82" s="18" t="s">
        <v>178</v>
      </c>
      <c r="C82" s="17" t="s">
        <v>10</v>
      </c>
      <c r="D82" s="17" t="s">
        <v>7</v>
      </c>
      <c r="E82" s="92" t="s">
        <v>50</v>
      </c>
      <c r="G82" s="108" t="s">
        <v>36</v>
      </c>
      <c r="H82" s="20" t="s">
        <v>298</v>
      </c>
      <c r="I82" s="20"/>
      <c r="K82" s="20"/>
      <c r="L82" s="20"/>
      <c r="M82" s="20"/>
      <c r="N82" s="20"/>
      <c r="O82" s="20"/>
      <c r="Q82" s="97">
        <v>109059.3</v>
      </c>
      <c r="R82" s="21">
        <v>109059.3</v>
      </c>
      <c r="S82" s="104"/>
      <c r="U82" s="114"/>
      <c r="W82" s="119" t="s">
        <v>456</v>
      </c>
      <c r="Y82" s="87"/>
      <c r="Z82" s="87"/>
      <c r="AA82" s="87"/>
      <c r="AB82" s="87"/>
    </row>
    <row r="83" spans="1:289" ht="30" x14ac:dyDescent="0.25">
      <c r="A83" s="14">
        <v>4780</v>
      </c>
      <c r="B83" s="13" t="s">
        <v>180</v>
      </c>
      <c r="C83" s="8" t="s">
        <v>10</v>
      </c>
      <c r="D83" s="8" t="s">
        <v>7</v>
      </c>
      <c r="E83" s="91" t="s">
        <v>44</v>
      </c>
      <c r="G83" s="107" t="s">
        <v>45</v>
      </c>
      <c r="H83" s="15" t="s">
        <v>324</v>
      </c>
      <c r="I83" s="15"/>
      <c r="K83" s="15"/>
      <c r="L83" s="15"/>
      <c r="M83" s="15"/>
      <c r="N83" s="15"/>
      <c r="O83" s="15"/>
      <c r="Q83" s="96">
        <v>139855.98000000001</v>
      </c>
      <c r="R83" s="16">
        <v>139855.98000000001</v>
      </c>
      <c r="S83" s="103"/>
      <c r="U83" s="114"/>
      <c r="W83" s="119" t="s">
        <v>462</v>
      </c>
      <c r="Y83" s="87"/>
      <c r="Z83" s="87"/>
      <c r="AA83" s="87"/>
      <c r="AB83" s="87"/>
    </row>
    <row r="84" spans="1:289" ht="15.75" x14ac:dyDescent="0.25">
      <c r="A84" s="19">
        <v>5504</v>
      </c>
      <c r="B84" s="18" t="s">
        <v>182</v>
      </c>
      <c r="C84" s="17" t="s">
        <v>10</v>
      </c>
      <c r="D84" s="17" t="s">
        <v>7</v>
      </c>
      <c r="E84" s="92" t="s">
        <v>50</v>
      </c>
      <c r="G84" s="108" t="s">
        <v>36</v>
      </c>
      <c r="H84" s="20"/>
      <c r="I84" s="20"/>
      <c r="K84" s="22"/>
      <c r="L84" s="22">
        <v>45891</v>
      </c>
      <c r="M84" s="22"/>
      <c r="N84" s="22"/>
      <c r="O84" s="22"/>
      <c r="Q84" s="97">
        <v>127939.01</v>
      </c>
      <c r="R84" s="21">
        <v>127939.01</v>
      </c>
      <c r="S84" s="104"/>
      <c r="U84" s="114"/>
      <c r="W84" s="119"/>
      <c r="Y84" s="87"/>
      <c r="Z84" s="87"/>
      <c r="AA84" s="87"/>
      <c r="AB84" s="87"/>
    </row>
    <row r="85" spans="1:289" ht="15.75" x14ac:dyDescent="0.25">
      <c r="A85" s="14">
        <v>4843</v>
      </c>
      <c r="B85" s="13" t="s">
        <v>184</v>
      </c>
      <c r="C85" s="8" t="s">
        <v>10</v>
      </c>
      <c r="D85" s="8" t="s">
        <v>7</v>
      </c>
      <c r="E85" s="91" t="s">
        <v>62</v>
      </c>
      <c r="G85" s="107" t="s">
        <v>36</v>
      </c>
      <c r="H85" s="15"/>
      <c r="I85" s="15"/>
      <c r="K85" s="22"/>
      <c r="L85" s="22">
        <v>45938</v>
      </c>
      <c r="M85" s="22"/>
      <c r="N85" s="22"/>
      <c r="O85" s="22"/>
      <c r="Q85" s="96">
        <v>263495.13</v>
      </c>
      <c r="R85" s="16">
        <v>263495.13</v>
      </c>
      <c r="S85" s="103"/>
      <c r="U85" s="114"/>
      <c r="W85" s="119"/>
      <c r="Y85" s="87"/>
      <c r="Z85" s="87"/>
      <c r="AA85" s="87"/>
      <c r="AB85" s="87"/>
    </row>
    <row r="86" spans="1:289" ht="15.75" x14ac:dyDescent="0.25">
      <c r="A86" s="19">
        <v>5480</v>
      </c>
      <c r="B86" s="18" t="s">
        <v>186</v>
      </c>
      <c r="C86" s="17" t="s">
        <v>22</v>
      </c>
      <c r="D86" s="17" t="s">
        <v>7</v>
      </c>
      <c r="E86" s="92" t="s">
        <v>23</v>
      </c>
      <c r="G86" s="108" t="s">
        <v>19</v>
      </c>
      <c r="H86" s="20"/>
      <c r="I86" s="20"/>
      <c r="K86" s="22"/>
      <c r="L86" s="22">
        <v>45915</v>
      </c>
      <c r="M86" s="22"/>
      <c r="N86" s="22"/>
      <c r="O86" s="22"/>
      <c r="Q86" s="97">
        <v>202249.64</v>
      </c>
      <c r="R86" s="21">
        <v>202249.64</v>
      </c>
      <c r="S86" s="104"/>
      <c r="U86" s="114"/>
      <c r="W86" s="119"/>
      <c r="Y86" s="87"/>
      <c r="Z86" s="87"/>
      <c r="AA86" s="87"/>
      <c r="AB86" s="87"/>
    </row>
    <row r="87" spans="1:289" ht="15.75" x14ac:dyDescent="0.25">
      <c r="A87" s="14">
        <v>8725</v>
      </c>
      <c r="B87" s="13" t="s">
        <v>188</v>
      </c>
      <c r="C87" s="8" t="s">
        <v>10</v>
      </c>
      <c r="D87" s="8" t="s">
        <v>7</v>
      </c>
      <c r="E87" s="91" t="s">
        <v>44</v>
      </c>
      <c r="G87" s="107" t="s">
        <v>45</v>
      </c>
      <c r="H87" s="15" t="s">
        <v>324</v>
      </c>
      <c r="I87" s="15"/>
      <c r="K87" s="15"/>
      <c r="L87" s="15"/>
      <c r="M87" s="15"/>
      <c r="N87" s="15"/>
      <c r="O87" s="15"/>
      <c r="Q87" s="96">
        <v>255207.7</v>
      </c>
      <c r="R87" s="16">
        <v>255207.7</v>
      </c>
      <c r="S87" s="103"/>
      <c r="U87" s="114"/>
      <c r="W87" s="119" t="s">
        <v>468</v>
      </c>
      <c r="Y87" s="87"/>
      <c r="Z87" s="87"/>
      <c r="AA87" s="87"/>
      <c r="AB87" s="87"/>
    </row>
    <row r="88" spans="1:289" ht="15.75" x14ac:dyDescent="0.25">
      <c r="A88" s="19">
        <v>5369</v>
      </c>
      <c r="B88" s="18" t="s">
        <v>190</v>
      </c>
      <c r="C88" s="17" t="s">
        <v>22</v>
      </c>
      <c r="D88" s="17" t="s">
        <v>7</v>
      </c>
      <c r="E88" s="92" t="s">
        <v>35</v>
      </c>
      <c r="G88" s="108" t="s">
        <v>36</v>
      </c>
      <c r="H88" s="20"/>
      <c r="I88" s="20"/>
      <c r="K88" s="22"/>
      <c r="L88" s="22">
        <v>45985</v>
      </c>
      <c r="M88" s="22"/>
      <c r="N88" s="22"/>
      <c r="O88" s="22"/>
      <c r="Q88" s="97">
        <v>439502.5</v>
      </c>
      <c r="R88" s="21">
        <v>439502.5</v>
      </c>
      <c r="S88" s="104"/>
      <c r="U88" s="114"/>
      <c r="W88" s="119"/>
      <c r="Y88" s="87"/>
      <c r="Z88" s="87"/>
      <c r="AA88" s="87"/>
      <c r="AB88" s="87"/>
    </row>
    <row r="89" spans="1:289" ht="15.75" x14ac:dyDescent="0.25">
      <c r="A89" s="7">
        <v>8847</v>
      </c>
      <c r="B89" s="6" t="s">
        <v>192</v>
      </c>
      <c r="C89" s="5" t="s">
        <v>22</v>
      </c>
      <c r="D89" s="5" t="s">
        <v>7</v>
      </c>
      <c r="E89" s="90" t="s">
        <v>55</v>
      </c>
      <c r="G89" s="106" t="s">
        <v>19</v>
      </c>
      <c r="H89" s="9"/>
      <c r="I89" s="9"/>
      <c r="K89" s="9"/>
      <c r="L89" s="9">
        <v>45460</v>
      </c>
      <c r="M89" s="9"/>
      <c r="N89" s="9"/>
      <c r="O89" s="9"/>
      <c r="Q89" s="95">
        <v>2000</v>
      </c>
      <c r="R89" s="10">
        <v>2000</v>
      </c>
      <c r="S89" s="102"/>
      <c r="U89" s="114"/>
      <c r="W89" s="119"/>
      <c r="Y89" s="87"/>
      <c r="Z89" s="87"/>
      <c r="AA89" s="87"/>
      <c r="AB89" s="87"/>
    </row>
    <row r="90" spans="1:289" ht="15.75" x14ac:dyDescent="0.25">
      <c r="A90" s="19">
        <v>1194</v>
      </c>
      <c r="B90" s="18" t="s">
        <v>194</v>
      </c>
      <c r="C90" s="17" t="s">
        <v>22</v>
      </c>
      <c r="D90" s="17" t="s">
        <v>7</v>
      </c>
      <c r="E90" s="92" t="s">
        <v>28</v>
      </c>
      <c r="G90" s="108" t="s">
        <v>29</v>
      </c>
      <c r="H90" s="20"/>
      <c r="I90" s="20"/>
      <c r="K90" s="22"/>
      <c r="L90" s="22">
        <v>45918</v>
      </c>
      <c r="M90" s="22"/>
      <c r="N90" s="22"/>
      <c r="O90" s="22"/>
      <c r="Q90" s="97">
        <v>178367.29</v>
      </c>
      <c r="R90" s="21">
        <v>178367.29</v>
      </c>
      <c r="S90" s="104"/>
      <c r="U90" s="114"/>
      <c r="W90" s="119"/>
      <c r="Y90" s="87"/>
      <c r="Z90" s="87"/>
      <c r="AA90" s="87"/>
      <c r="AB90" s="87"/>
    </row>
    <row r="91" spans="1:289" ht="15.75" x14ac:dyDescent="0.25">
      <c r="A91" s="14">
        <v>489</v>
      </c>
      <c r="B91" s="13" t="s">
        <v>196</v>
      </c>
      <c r="C91" s="8" t="s">
        <v>22</v>
      </c>
      <c r="D91" s="8" t="s">
        <v>7</v>
      </c>
      <c r="E91" s="91" t="s">
        <v>28</v>
      </c>
      <c r="G91" s="107" t="s">
        <v>29</v>
      </c>
      <c r="H91" s="15"/>
      <c r="I91" s="15"/>
      <c r="K91" s="22"/>
      <c r="L91" s="22">
        <v>45918</v>
      </c>
      <c r="M91" s="22"/>
      <c r="N91" s="22"/>
      <c r="O91" s="22"/>
      <c r="Q91" s="96">
        <v>83407.83</v>
      </c>
      <c r="R91" s="16">
        <v>83407.83</v>
      </c>
      <c r="S91" s="103"/>
      <c r="U91" s="114"/>
      <c r="W91" s="119"/>
      <c r="Y91" s="87"/>
      <c r="Z91" s="87"/>
      <c r="AA91" s="87"/>
      <c r="AB91" s="87"/>
    </row>
    <row r="92" spans="1:289" ht="15.75" x14ac:dyDescent="0.25">
      <c r="A92" s="19">
        <v>4663</v>
      </c>
      <c r="B92" s="18" t="s">
        <v>198</v>
      </c>
      <c r="C92" s="17" t="s">
        <v>22</v>
      </c>
      <c r="D92" s="17" t="s">
        <v>7</v>
      </c>
      <c r="E92" s="92" t="s">
        <v>35</v>
      </c>
      <c r="G92" s="108" t="s">
        <v>36</v>
      </c>
      <c r="H92" s="20"/>
      <c r="I92" s="20"/>
      <c r="K92" s="22"/>
      <c r="L92" s="22">
        <v>45875</v>
      </c>
      <c r="M92" s="22"/>
      <c r="N92" s="22"/>
      <c r="O92" s="22"/>
      <c r="Q92" s="97">
        <v>69509.5</v>
      </c>
      <c r="R92" s="21">
        <v>69509.5</v>
      </c>
      <c r="S92" s="104"/>
      <c r="U92" s="114"/>
      <c r="W92" s="119"/>
      <c r="Y92" s="87"/>
      <c r="Z92" s="87"/>
      <c r="AA92" s="87"/>
      <c r="AB92" s="87"/>
      <c r="HF92" s="11"/>
      <c r="HG92" s="11"/>
      <c r="HH92" s="11"/>
      <c r="HI92" s="11"/>
      <c r="HJ92" s="11"/>
      <c r="HK92" s="11"/>
      <c r="HL92" s="11"/>
      <c r="HM92" s="11"/>
      <c r="HN92" s="11"/>
      <c r="HO92" s="11"/>
      <c r="HP92" s="11"/>
      <c r="HQ92" s="11"/>
      <c r="HR92" s="11"/>
      <c r="HS92" s="11"/>
      <c r="HT92" s="11"/>
      <c r="HU92" s="11"/>
      <c r="HV92" s="11"/>
      <c r="HW92" s="11"/>
      <c r="HX92" s="11"/>
      <c r="HY92" s="11"/>
      <c r="HZ92" s="11"/>
      <c r="IA92" s="11"/>
      <c r="IB92" s="11"/>
      <c r="IC92" s="11"/>
      <c r="ID92" s="11"/>
      <c r="IE92" s="11"/>
      <c r="IF92" s="11"/>
      <c r="IG92" s="11"/>
      <c r="IH92" s="11"/>
      <c r="II92" s="11"/>
      <c r="IJ92" s="11"/>
      <c r="IK92" s="11"/>
      <c r="IL92" s="11"/>
      <c r="IM92" s="11"/>
      <c r="IN92" s="11"/>
      <c r="IO92" s="11"/>
      <c r="IP92" s="11"/>
      <c r="IQ92" s="11"/>
      <c r="IR92" s="11"/>
      <c r="IS92" s="11"/>
      <c r="IT92" s="11"/>
      <c r="IU92" s="11"/>
      <c r="IV92" s="11"/>
      <c r="IW92" s="11"/>
      <c r="IX92" s="11"/>
      <c r="IY92" s="11"/>
      <c r="IZ92" s="11"/>
      <c r="JA92" s="11"/>
      <c r="JB92" s="11"/>
      <c r="JC92" s="11"/>
      <c r="JD92" s="11"/>
      <c r="JE92" s="11"/>
      <c r="JF92" s="11"/>
      <c r="JG92" s="11"/>
      <c r="JH92" s="11"/>
      <c r="JI92" s="11"/>
      <c r="JJ92" s="11"/>
      <c r="JK92" s="11"/>
      <c r="JL92" s="11"/>
      <c r="JM92" s="11"/>
      <c r="JN92" s="11"/>
      <c r="JO92" s="11"/>
      <c r="JP92" s="11"/>
      <c r="JQ92" s="11"/>
      <c r="JR92" s="11"/>
      <c r="JS92" s="11"/>
      <c r="JT92" s="11"/>
      <c r="JU92" s="11"/>
      <c r="JV92" s="11"/>
      <c r="JW92" s="11"/>
      <c r="JX92" s="11"/>
      <c r="JY92" s="11"/>
      <c r="JZ92" s="11"/>
      <c r="KA92" s="11"/>
      <c r="KB92" s="11"/>
      <c r="KC92" s="11"/>
    </row>
    <row r="93" spans="1:289" ht="15.75" x14ac:dyDescent="0.25">
      <c r="A93" s="7">
        <v>267</v>
      </c>
      <c r="B93" s="6" t="s">
        <v>200</v>
      </c>
      <c r="C93" s="8" t="s">
        <v>10</v>
      </c>
      <c r="D93" s="5" t="s">
        <v>7</v>
      </c>
      <c r="E93" s="90" t="s">
        <v>44</v>
      </c>
      <c r="G93" s="106" t="s">
        <v>45</v>
      </c>
      <c r="H93" s="9"/>
      <c r="I93" s="9"/>
      <c r="K93" s="9"/>
      <c r="L93" s="9">
        <v>45496</v>
      </c>
      <c r="M93" s="9"/>
      <c r="N93" s="9"/>
      <c r="O93" s="9"/>
      <c r="Q93" s="95">
        <v>54636.74</v>
      </c>
      <c r="R93" s="10">
        <v>54636.74</v>
      </c>
      <c r="S93" s="102"/>
      <c r="U93" s="114"/>
      <c r="W93" s="119" t="s">
        <v>474</v>
      </c>
      <c r="Y93" s="87"/>
      <c r="Z93" s="87"/>
      <c r="AA93" s="87"/>
      <c r="AB93" s="87"/>
      <c r="HF93" s="11"/>
      <c r="HG93" s="11"/>
      <c r="HH93" s="11"/>
      <c r="HI93" s="11"/>
      <c r="HJ93" s="11"/>
      <c r="HK93" s="11"/>
      <c r="HL93" s="11"/>
      <c r="HM93" s="11"/>
      <c r="HN93" s="11"/>
      <c r="HO93" s="11"/>
      <c r="HP93" s="11"/>
      <c r="HQ93" s="11"/>
      <c r="HR93" s="11"/>
      <c r="HS93" s="11"/>
      <c r="HT93" s="11"/>
      <c r="HU93" s="11"/>
      <c r="HV93" s="11"/>
      <c r="HW93" s="11"/>
      <c r="HX93" s="11"/>
      <c r="HY93" s="11"/>
      <c r="HZ93" s="11"/>
      <c r="IA93" s="11"/>
      <c r="IB93" s="11"/>
      <c r="IC93" s="11"/>
      <c r="ID93" s="11"/>
      <c r="IE93" s="11"/>
      <c r="IF93" s="11"/>
      <c r="IG93" s="11"/>
      <c r="IH93" s="11"/>
      <c r="II93" s="11"/>
      <c r="IJ93" s="11"/>
      <c r="IK93" s="11"/>
      <c r="IL93" s="11"/>
      <c r="IM93" s="11"/>
      <c r="IN93" s="11"/>
      <c r="IO93" s="11"/>
      <c r="IP93" s="11"/>
      <c r="IQ93" s="11"/>
      <c r="IR93" s="11"/>
      <c r="IS93" s="11"/>
      <c r="IT93" s="11"/>
      <c r="IU93" s="11"/>
      <c r="IV93" s="11"/>
      <c r="IW93" s="11"/>
      <c r="IX93" s="11"/>
      <c r="IY93" s="11"/>
      <c r="IZ93" s="11"/>
      <c r="JA93" s="11"/>
      <c r="JB93" s="11"/>
      <c r="JC93" s="11"/>
      <c r="JD93" s="11"/>
      <c r="JE93" s="11"/>
      <c r="JF93" s="11"/>
      <c r="JG93" s="11"/>
      <c r="JH93" s="11"/>
      <c r="JI93" s="11"/>
      <c r="JJ93" s="11"/>
      <c r="JK93" s="11"/>
      <c r="JL93" s="11"/>
      <c r="JM93" s="11"/>
      <c r="JN93" s="11"/>
      <c r="JO93" s="11"/>
      <c r="JP93" s="11"/>
      <c r="JQ93" s="11"/>
      <c r="JR93" s="11"/>
      <c r="JS93" s="11"/>
      <c r="JT93" s="11"/>
      <c r="JU93" s="11"/>
      <c r="JV93" s="11"/>
      <c r="JW93" s="11"/>
      <c r="JX93" s="11"/>
      <c r="JY93" s="11"/>
      <c r="JZ93" s="11"/>
      <c r="KA93" s="11"/>
      <c r="KB93" s="11"/>
      <c r="KC93" s="11"/>
    </row>
    <row r="94" spans="1:289" ht="15.75" x14ac:dyDescent="0.25">
      <c r="A94" s="19">
        <v>8875</v>
      </c>
      <c r="B94" s="18" t="s">
        <v>202</v>
      </c>
      <c r="C94" s="17" t="s">
        <v>10</v>
      </c>
      <c r="D94" s="17" t="s">
        <v>7</v>
      </c>
      <c r="E94" s="92" t="s">
        <v>79</v>
      </c>
      <c r="G94" s="108" t="s">
        <v>12</v>
      </c>
      <c r="H94" s="20"/>
      <c r="I94" s="20"/>
      <c r="K94" s="22"/>
      <c r="L94" s="22">
        <v>45887</v>
      </c>
      <c r="M94" s="22"/>
      <c r="N94" s="22"/>
      <c r="O94" s="22"/>
      <c r="Q94" s="97">
        <v>88711.6</v>
      </c>
      <c r="R94" s="21">
        <v>88711.6</v>
      </c>
      <c r="S94" s="104"/>
      <c r="U94" s="114"/>
      <c r="W94" s="119"/>
      <c r="Y94" s="87"/>
      <c r="Z94" s="87"/>
      <c r="AA94" s="87"/>
      <c r="AB94" s="87"/>
    </row>
    <row r="95" spans="1:289" ht="15.75" x14ac:dyDescent="0.25">
      <c r="A95" s="14">
        <v>1090</v>
      </c>
      <c r="B95" s="13" t="s">
        <v>204</v>
      </c>
      <c r="C95" s="8" t="s">
        <v>10</v>
      </c>
      <c r="D95" s="8" t="s">
        <v>7</v>
      </c>
      <c r="E95" s="91" t="s">
        <v>79</v>
      </c>
      <c r="G95" s="107" t="s">
        <v>12</v>
      </c>
      <c r="H95" s="15"/>
      <c r="I95" s="15"/>
      <c r="K95" s="22"/>
      <c r="L95" s="22">
        <v>45869</v>
      </c>
      <c r="M95" s="22"/>
      <c r="N95" s="22"/>
      <c r="O95" s="22"/>
      <c r="Q95" s="96">
        <v>93682.9</v>
      </c>
      <c r="R95" s="16">
        <v>93682.9</v>
      </c>
      <c r="S95" s="103"/>
      <c r="U95" s="114"/>
      <c r="W95" s="119"/>
      <c r="Y95" s="87"/>
      <c r="Z95" s="87"/>
      <c r="AA95" s="87"/>
      <c r="AB95" s="87"/>
    </row>
    <row r="96" spans="1:289" ht="15.75" x14ac:dyDescent="0.25">
      <c r="A96" s="19">
        <v>8911</v>
      </c>
      <c r="B96" s="18" t="s">
        <v>206</v>
      </c>
      <c r="C96" s="17" t="s">
        <v>22</v>
      </c>
      <c r="D96" s="17" t="s">
        <v>7</v>
      </c>
      <c r="E96" s="92" t="s">
        <v>23</v>
      </c>
      <c r="G96" s="108" t="s">
        <v>19</v>
      </c>
      <c r="H96" s="20"/>
      <c r="I96" s="20"/>
      <c r="K96" s="22"/>
      <c r="L96" s="22">
        <v>45736</v>
      </c>
      <c r="M96" s="22"/>
      <c r="N96" s="22"/>
      <c r="O96" s="22"/>
      <c r="Q96" s="97">
        <v>95765.17</v>
      </c>
      <c r="R96" s="21">
        <v>95765.17</v>
      </c>
      <c r="S96" s="104"/>
      <c r="U96" s="114"/>
      <c r="W96" s="119"/>
      <c r="Y96" s="87"/>
      <c r="Z96" s="87"/>
      <c r="AA96" s="87"/>
      <c r="AB96" s="87"/>
    </row>
    <row r="97" spans="1:45" ht="15.75" x14ac:dyDescent="0.25">
      <c r="A97" s="14">
        <v>4741</v>
      </c>
      <c r="B97" s="13" t="s">
        <v>208</v>
      </c>
      <c r="C97" s="8" t="s">
        <v>22</v>
      </c>
      <c r="D97" s="8" t="s">
        <v>7</v>
      </c>
      <c r="E97" s="91" t="s">
        <v>32</v>
      </c>
      <c r="G97" s="107" t="s">
        <v>19</v>
      </c>
      <c r="H97" s="15"/>
      <c r="I97" s="15"/>
      <c r="K97" s="22"/>
      <c r="L97" s="22">
        <v>45838</v>
      </c>
      <c r="M97" s="22"/>
      <c r="N97" s="22"/>
      <c r="O97" s="22"/>
      <c r="Q97" s="96">
        <v>82.025641025641022</v>
      </c>
      <c r="R97" s="16">
        <v>82.025641025641022</v>
      </c>
      <c r="S97" s="103"/>
      <c r="U97" s="114"/>
      <c r="W97" s="119"/>
      <c r="Y97" s="87"/>
      <c r="Z97" s="87"/>
      <c r="AA97" s="87"/>
      <c r="AB97" s="87"/>
    </row>
    <row r="98" spans="1:45" ht="30" x14ac:dyDescent="0.25">
      <c r="A98" s="19">
        <v>1646</v>
      </c>
      <c r="B98" s="18" t="s">
        <v>210</v>
      </c>
      <c r="C98" s="17" t="s">
        <v>22</v>
      </c>
      <c r="D98" s="17" t="s">
        <v>7</v>
      </c>
      <c r="E98" s="92" t="s">
        <v>28</v>
      </c>
      <c r="G98" s="108" t="s">
        <v>29</v>
      </c>
      <c r="H98" s="20" t="s">
        <v>383</v>
      </c>
      <c r="I98" s="20"/>
      <c r="K98" s="20"/>
      <c r="L98" s="20"/>
      <c r="M98" s="20"/>
      <c r="N98" s="20"/>
      <c r="O98" s="20"/>
      <c r="Q98" s="97">
        <v>273386.45</v>
      </c>
      <c r="R98" s="21">
        <v>273386.45</v>
      </c>
      <c r="S98" s="104"/>
      <c r="U98" s="114"/>
      <c r="W98" s="119" t="s">
        <v>212</v>
      </c>
      <c r="Y98" s="87"/>
      <c r="Z98" s="87"/>
      <c r="AA98" s="87"/>
      <c r="AB98" s="87"/>
    </row>
    <row r="99" spans="1:45" ht="15.75" x14ac:dyDescent="0.25">
      <c r="A99" s="14">
        <v>8854</v>
      </c>
      <c r="B99" s="13" t="s">
        <v>213</v>
      </c>
      <c r="C99" s="8" t="s">
        <v>22</v>
      </c>
      <c r="D99" s="8" t="s">
        <v>7</v>
      </c>
      <c r="E99" s="91" t="s">
        <v>55</v>
      </c>
      <c r="G99" s="107" t="s">
        <v>19</v>
      </c>
      <c r="H99" s="15"/>
      <c r="I99" s="15"/>
      <c r="K99" s="22"/>
      <c r="L99" s="22">
        <v>45867</v>
      </c>
      <c r="M99" s="22"/>
      <c r="N99" s="22"/>
      <c r="O99" s="22"/>
      <c r="Q99" s="96">
        <v>213191.37</v>
      </c>
      <c r="R99" s="16">
        <v>213191.37</v>
      </c>
      <c r="S99" s="103"/>
      <c r="U99" s="114"/>
      <c r="W99" s="119"/>
      <c r="Y99" s="87"/>
      <c r="Z99" s="87"/>
      <c r="AA99" s="87"/>
      <c r="AB99" s="87"/>
    </row>
    <row r="100" spans="1:45" ht="15.75" x14ac:dyDescent="0.25">
      <c r="A100" s="19">
        <v>2065</v>
      </c>
      <c r="B100" s="18" t="s">
        <v>215</v>
      </c>
      <c r="C100" s="17" t="s">
        <v>22</v>
      </c>
      <c r="D100" s="17" t="s">
        <v>7</v>
      </c>
      <c r="E100" s="92" t="s">
        <v>28</v>
      </c>
      <c r="G100" s="108" t="s">
        <v>29</v>
      </c>
      <c r="H100" s="20"/>
      <c r="I100" s="20"/>
      <c r="K100" s="22"/>
      <c r="L100" s="22">
        <v>45925</v>
      </c>
      <c r="M100" s="22"/>
      <c r="N100" s="22"/>
      <c r="O100" s="22"/>
      <c r="Q100" s="97">
        <v>148082.94</v>
      </c>
      <c r="R100" s="21">
        <v>148082.94</v>
      </c>
      <c r="S100" s="104"/>
      <c r="U100" s="114"/>
      <c r="W100" s="119"/>
      <c r="Y100" s="87"/>
      <c r="Z100" s="87"/>
      <c r="AA100" s="87"/>
      <c r="AB100" s="87"/>
    </row>
    <row r="101" spans="1:45" ht="135" x14ac:dyDescent="0.25">
      <c r="A101" s="14">
        <v>5479</v>
      </c>
      <c r="B101" s="13" t="s">
        <v>217</v>
      </c>
      <c r="C101" s="8" t="s">
        <v>10</v>
      </c>
      <c r="D101" s="8" t="s">
        <v>7</v>
      </c>
      <c r="E101" s="91" t="s">
        <v>50</v>
      </c>
      <c r="G101" s="107" t="s">
        <v>36</v>
      </c>
      <c r="H101" s="15" t="s">
        <v>298</v>
      </c>
      <c r="I101" s="15"/>
      <c r="K101" s="15"/>
      <c r="L101" s="15"/>
      <c r="M101" s="15"/>
      <c r="N101" s="15"/>
      <c r="O101" s="15"/>
      <c r="Q101" s="96">
        <v>198029.71</v>
      </c>
      <c r="R101" s="16">
        <v>198029.71</v>
      </c>
      <c r="S101" s="103"/>
      <c r="U101" s="114"/>
      <c r="W101" s="122" t="s">
        <v>488</v>
      </c>
      <c r="Y101" s="87"/>
      <c r="Z101" s="87"/>
      <c r="AA101" s="87"/>
      <c r="AB101" s="87"/>
    </row>
    <row r="102" spans="1:45" ht="15.75" x14ac:dyDescent="0.25">
      <c r="A102" s="19">
        <v>5414</v>
      </c>
      <c r="B102" s="18" t="s">
        <v>219</v>
      </c>
      <c r="C102" s="17" t="s">
        <v>22</v>
      </c>
      <c r="D102" s="17" t="s">
        <v>7</v>
      </c>
      <c r="E102" s="92" t="s">
        <v>23</v>
      </c>
      <c r="G102" s="108" t="s">
        <v>19</v>
      </c>
      <c r="H102" s="20"/>
      <c r="I102" s="20"/>
      <c r="K102" s="22"/>
      <c r="L102" s="22">
        <v>45869</v>
      </c>
      <c r="M102" s="22"/>
      <c r="N102" s="22"/>
      <c r="O102" s="22"/>
      <c r="Q102" s="97">
        <v>123787.16</v>
      </c>
      <c r="R102" s="21">
        <v>123787.16</v>
      </c>
      <c r="S102" s="104"/>
      <c r="U102" s="114"/>
      <c r="W102" s="119"/>
      <c r="Y102" s="87"/>
      <c r="Z102" s="87"/>
      <c r="AA102" s="87"/>
      <c r="AB102" s="87"/>
    </row>
    <row r="103" spans="1:45" ht="15.75" x14ac:dyDescent="0.25">
      <c r="A103" s="14">
        <v>3016</v>
      </c>
      <c r="B103" s="13" t="s">
        <v>221</v>
      </c>
      <c r="C103" s="8" t="s">
        <v>10</v>
      </c>
      <c r="D103" s="8" t="s">
        <v>7</v>
      </c>
      <c r="E103" s="91" t="s">
        <v>11</v>
      </c>
      <c r="G103" s="107" t="s">
        <v>12</v>
      </c>
      <c r="H103" s="15"/>
      <c r="I103" s="15"/>
      <c r="K103" s="22"/>
      <c r="L103" s="22">
        <v>45936</v>
      </c>
      <c r="M103" s="22"/>
      <c r="N103" s="22"/>
      <c r="O103" s="22"/>
      <c r="Q103" s="96">
        <v>191343.26</v>
      </c>
      <c r="R103" s="16">
        <v>191343.26</v>
      </c>
      <c r="S103" s="103"/>
      <c r="U103" s="114"/>
      <c r="W103" s="119"/>
      <c r="Y103" s="87"/>
      <c r="Z103" s="87"/>
      <c r="AA103" s="87"/>
      <c r="AB103" s="87"/>
    </row>
    <row r="104" spans="1:45" ht="15.75" x14ac:dyDescent="0.25">
      <c r="A104" s="19">
        <v>3968</v>
      </c>
      <c r="B104" s="18" t="s">
        <v>223</v>
      </c>
      <c r="C104" s="17" t="s">
        <v>10</v>
      </c>
      <c r="D104" s="17" t="s">
        <v>7</v>
      </c>
      <c r="E104" s="92" t="s">
        <v>39</v>
      </c>
      <c r="G104" s="108" t="s">
        <v>12</v>
      </c>
      <c r="H104" s="20"/>
      <c r="I104" s="20"/>
      <c r="K104" s="22"/>
      <c r="L104" s="22">
        <v>45993</v>
      </c>
      <c r="M104" s="22"/>
      <c r="N104" s="22"/>
      <c r="O104" s="22"/>
      <c r="Q104" s="97">
        <v>78026.63</v>
      </c>
      <c r="R104" s="21">
        <v>78026.63</v>
      </c>
      <c r="S104" s="104"/>
      <c r="U104" s="114"/>
      <c r="W104" s="119"/>
      <c r="Y104" s="87"/>
      <c r="Z104" s="87"/>
      <c r="AA104" s="87"/>
      <c r="AB104" s="87"/>
    </row>
    <row r="105" spans="1:45" ht="15.75" x14ac:dyDescent="0.25">
      <c r="A105" s="14">
        <v>4700</v>
      </c>
      <c r="B105" s="13" t="s">
        <v>225</v>
      </c>
      <c r="C105" s="8" t="s">
        <v>10</v>
      </c>
      <c r="D105" s="8" t="s">
        <v>7</v>
      </c>
      <c r="E105" s="91" t="s">
        <v>15</v>
      </c>
      <c r="G105" s="107" t="s">
        <v>12</v>
      </c>
      <c r="H105" s="15" t="s">
        <v>491</v>
      </c>
      <c r="I105" s="15"/>
      <c r="K105" s="22"/>
      <c r="L105" s="22">
        <v>45968</v>
      </c>
      <c r="M105" s="22"/>
      <c r="N105" s="22"/>
      <c r="O105" s="22"/>
      <c r="Q105" s="96">
        <v>322258.75</v>
      </c>
      <c r="R105" s="16">
        <v>322258.75</v>
      </c>
      <c r="S105" s="103"/>
      <c r="U105" s="114"/>
      <c r="W105" s="119"/>
      <c r="Y105" s="87"/>
      <c r="Z105" s="87"/>
      <c r="AA105" s="87"/>
      <c r="AB105" s="87"/>
    </row>
    <row r="106" spans="1:45" ht="15.75" x14ac:dyDescent="0.25">
      <c r="A106" s="19">
        <v>8803</v>
      </c>
      <c r="B106" s="18" t="s">
        <v>227</v>
      </c>
      <c r="C106" s="17" t="s">
        <v>10</v>
      </c>
      <c r="D106" s="17" t="s">
        <v>7</v>
      </c>
      <c r="E106" s="92" t="s">
        <v>15</v>
      </c>
      <c r="G106" s="108" t="s">
        <v>12</v>
      </c>
      <c r="H106" s="20" t="s">
        <v>491</v>
      </c>
      <c r="I106" s="20"/>
      <c r="K106" s="20"/>
      <c r="L106" s="20"/>
      <c r="M106" s="20"/>
      <c r="N106" s="20"/>
      <c r="O106" s="20"/>
      <c r="Q106" s="98">
        <v>2178875.5099999998</v>
      </c>
      <c r="R106" s="27">
        <v>2178875.5099999998</v>
      </c>
      <c r="S106" s="105"/>
      <c r="U106" s="114"/>
      <c r="W106" s="119" t="s">
        <v>493</v>
      </c>
      <c r="Y106" s="87"/>
      <c r="Z106" s="87"/>
      <c r="AA106" s="87"/>
      <c r="AB106" s="87"/>
    </row>
    <row r="107" spans="1:45" ht="150" x14ac:dyDescent="0.25">
      <c r="A107" s="19">
        <v>8804</v>
      </c>
      <c r="B107" s="18" t="s">
        <v>230</v>
      </c>
      <c r="C107" s="17" t="s">
        <v>10</v>
      </c>
      <c r="D107" s="17" t="s">
        <v>229</v>
      </c>
      <c r="E107" s="92" t="s">
        <v>11</v>
      </c>
      <c r="G107" s="108" t="s">
        <v>12</v>
      </c>
      <c r="H107" s="20" t="s">
        <v>491</v>
      </c>
      <c r="I107" s="20"/>
      <c r="K107" s="20"/>
      <c r="L107" s="20"/>
      <c r="M107" s="20"/>
      <c r="N107" s="20"/>
      <c r="O107" s="20"/>
      <c r="Q107" s="98">
        <v>2178876.5099999998</v>
      </c>
      <c r="R107" s="27">
        <v>2178876.5099999998</v>
      </c>
      <c r="S107" s="105"/>
      <c r="U107" s="114"/>
      <c r="W107" s="119" t="s">
        <v>497</v>
      </c>
      <c r="Y107" s="87"/>
      <c r="Z107" s="87"/>
      <c r="AA107" s="87"/>
      <c r="AB107" s="87"/>
    </row>
    <row r="108" spans="1:45" s="12" customFormat="1" ht="15.75" x14ac:dyDescent="0.25">
      <c r="A108" s="14">
        <v>5553</v>
      </c>
      <c r="B108" s="13" t="s">
        <v>232</v>
      </c>
      <c r="C108" s="8" t="s">
        <v>10</v>
      </c>
      <c r="D108" s="8" t="s">
        <v>7</v>
      </c>
      <c r="E108" s="91" t="s">
        <v>18</v>
      </c>
      <c r="F108" s="88"/>
      <c r="G108" s="107" t="s">
        <v>19</v>
      </c>
      <c r="H108" s="15"/>
      <c r="I108" s="15"/>
      <c r="J108" s="88"/>
      <c r="K108" s="22"/>
      <c r="L108" s="22">
        <v>45950</v>
      </c>
      <c r="M108" s="22"/>
      <c r="N108" s="22"/>
      <c r="O108" s="22"/>
      <c r="P108" s="88"/>
      <c r="Q108" s="96">
        <v>168439.97</v>
      </c>
      <c r="R108" s="16">
        <v>168439.97</v>
      </c>
      <c r="S108" s="103"/>
      <c r="T108" s="88"/>
      <c r="U108" s="114"/>
      <c r="V108" s="88"/>
      <c r="W108" s="119"/>
      <c r="X108" s="88"/>
      <c r="Y108" s="87"/>
      <c r="Z108" s="87"/>
      <c r="AA108" s="87"/>
      <c r="AB108" s="87"/>
      <c r="AC108"/>
      <c r="AD108"/>
      <c r="AE108"/>
      <c r="AF108"/>
      <c r="AG108"/>
      <c r="AH108"/>
      <c r="AI108"/>
      <c r="AJ108"/>
      <c r="AK108"/>
      <c r="AL108"/>
      <c r="AM108"/>
      <c r="AN108"/>
      <c r="AO108"/>
      <c r="AP108"/>
      <c r="AQ108"/>
      <c r="AR108"/>
      <c r="AS108"/>
    </row>
    <row r="109" spans="1:45" ht="15.75" x14ac:dyDescent="0.25">
      <c r="A109" s="19">
        <v>8405</v>
      </c>
      <c r="B109" s="18" t="s">
        <v>234</v>
      </c>
      <c r="C109" s="17" t="s">
        <v>22</v>
      </c>
      <c r="D109" s="17" t="s">
        <v>7</v>
      </c>
      <c r="E109" s="92" t="s">
        <v>32</v>
      </c>
      <c r="G109" s="108" t="s">
        <v>19</v>
      </c>
      <c r="H109" s="20"/>
      <c r="I109" s="20"/>
      <c r="K109" s="22"/>
      <c r="L109" s="22">
        <v>45838</v>
      </c>
      <c r="M109" s="22"/>
      <c r="N109" s="22"/>
      <c r="O109" s="22"/>
      <c r="Q109" s="97">
        <v>45497.19</v>
      </c>
      <c r="R109" s="21">
        <v>45497.19</v>
      </c>
      <c r="S109" s="104"/>
      <c r="U109" s="114"/>
      <c r="W109" s="119"/>
      <c r="Y109" s="87"/>
      <c r="Z109" s="87"/>
      <c r="AA109" s="87"/>
      <c r="AB109" s="87"/>
    </row>
    <row r="110" spans="1:45" ht="15.75" x14ac:dyDescent="0.25">
      <c r="A110" s="14">
        <v>8827</v>
      </c>
      <c r="B110" s="13" t="s">
        <v>236</v>
      </c>
      <c r="C110" s="8" t="s">
        <v>10</v>
      </c>
      <c r="D110" s="8" t="s">
        <v>7</v>
      </c>
      <c r="E110" s="91" t="s">
        <v>15</v>
      </c>
      <c r="G110" s="107" t="s">
        <v>12</v>
      </c>
      <c r="H110" s="15"/>
      <c r="I110" s="15"/>
      <c r="K110" s="22"/>
      <c r="L110" s="22">
        <v>45971</v>
      </c>
      <c r="M110" s="22"/>
      <c r="N110" s="22"/>
      <c r="O110" s="22"/>
      <c r="Q110" s="96">
        <v>547164.81999999995</v>
      </c>
      <c r="R110" s="16">
        <v>547164.81999999995</v>
      </c>
      <c r="S110" s="103"/>
      <c r="U110" s="114"/>
      <c r="W110" s="119"/>
      <c r="Y110" s="87"/>
      <c r="Z110" s="87"/>
      <c r="AA110" s="87"/>
      <c r="AB110" s="87"/>
    </row>
    <row r="111" spans="1:45" ht="60" x14ac:dyDescent="0.25">
      <c r="A111" s="19">
        <v>1813</v>
      </c>
      <c r="B111" s="18" t="s">
        <v>238</v>
      </c>
      <c r="C111" s="17" t="s">
        <v>22</v>
      </c>
      <c r="D111" s="17" t="s">
        <v>7</v>
      </c>
      <c r="E111" s="92" t="s">
        <v>55</v>
      </c>
      <c r="G111" s="108" t="s">
        <v>19</v>
      </c>
      <c r="H111" s="20" t="s">
        <v>335</v>
      </c>
      <c r="I111" s="20"/>
      <c r="K111" s="20"/>
      <c r="L111" s="20"/>
      <c r="M111" s="20"/>
      <c r="N111" s="20"/>
      <c r="O111" s="20"/>
      <c r="Q111" s="97">
        <v>150509.35</v>
      </c>
      <c r="R111" s="21">
        <v>150509.35</v>
      </c>
      <c r="S111" s="104"/>
      <c r="U111" s="114"/>
      <c r="W111" s="119" t="s">
        <v>502</v>
      </c>
      <c r="Y111" s="87"/>
      <c r="Z111" s="87"/>
      <c r="AA111" s="87"/>
      <c r="AB111" s="87"/>
    </row>
    <row r="112" spans="1:45" ht="75" x14ac:dyDescent="0.25">
      <c r="A112" s="14">
        <v>649</v>
      </c>
      <c r="B112" s="13" t="s">
        <v>240</v>
      </c>
      <c r="C112" s="8" t="s">
        <v>22</v>
      </c>
      <c r="D112" s="8" t="s">
        <v>7</v>
      </c>
      <c r="E112" s="91" t="s">
        <v>55</v>
      </c>
      <c r="G112" s="107" t="s">
        <v>19</v>
      </c>
      <c r="H112" s="15" t="s">
        <v>335</v>
      </c>
      <c r="I112" s="15"/>
      <c r="K112" s="15"/>
      <c r="L112" s="15"/>
      <c r="M112" s="15"/>
      <c r="N112" s="15"/>
      <c r="O112" s="15"/>
      <c r="Q112" s="96">
        <v>253536.46</v>
      </c>
      <c r="R112" s="16">
        <v>253536.46</v>
      </c>
      <c r="S112" s="103"/>
      <c r="U112" s="114"/>
      <c r="W112" s="119" t="s">
        <v>506</v>
      </c>
      <c r="Y112" s="87"/>
      <c r="Z112" s="87"/>
      <c r="AA112" s="87"/>
      <c r="AB112" s="87"/>
    </row>
    <row r="113" spans="1:28" ht="60" x14ac:dyDescent="0.25">
      <c r="A113" s="19">
        <v>8470</v>
      </c>
      <c r="B113" s="18" t="s">
        <v>242</v>
      </c>
      <c r="C113" s="17" t="s">
        <v>10</v>
      </c>
      <c r="D113" s="17" t="s">
        <v>7</v>
      </c>
      <c r="E113" s="92" t="s">
        <v>62</v>
      </c>
      <c r="G113" s="108" t="s">
        <v>36</v>
      </c>
      <c r="H113" s="20" t="s">
        <v>353</v>
      </c>
      <c r="I113" s="20"/>
      <c r="K113" s="20"/>
      <c r="L113" s="20"/>
      <c r="M113" s="20"/>
      <c r="N113" s="20"/>
      <c r="O113" s="20"/>
      <c r="Q113" s="97">
        <v>763521.8</v>
      </c>
      <c r="R113" s="21">
        <v>763521.8</v>
      </c>
      <c r="S113" s="104"/>
      <c r="U113" s="114"/>
      <c r="W113" s="119" t="s">
        <v>510</v>
      </c>
      <c r="Y113" s="87"/>
      <c r="Z113" s="87"/>
      <c r="AA113" s="87"/>
      <c r="AB113" s="87"/>
    </row>
    <row r="114" spans="1:28" ht="15.75" x14ac:dyDescent="0.25">
      <c r="A114" s="14">
        <v>8475</v>
      </c>
      <c r="B114" s="13" t="s">
        <v>244</v>
      </c>
      <c r="C114" s="8" t="s">
        <v>22</v>
      </c>
      <c r="D114" s="8" t="s">
        <v>7</v>
      </c>
      <c r="E114" s="91" t="s">
        <v>23</v>
      </c>
      <c r="G114" s="107" t="s">
        <v>19</v>
      </c>
      <c r="H114" s="15"/>
      <c r="I114" s="15"/>
      <c r="K114" s="22"/>
      <c r="L114" s="22">
        <v>45875</v>
      </c>
      <c r="M114" s="22"/>
      <c r="N114" s="22"/>
      <c r="O114" s="22"/>
      <c r="Q114" s="96">
        <v>503693.85</v>
      </c>
      <c r="R114" s="16">
        <v>503693.85</v>
      </c>
      <c r="S114" s="103"/>
      <c r="U114" s="114"/>
      <c r="W114" s="119"/>
      <c r="Y114" s="87"/>
      <c r="Z114" s="87"/>
      <c r="AA114" s="87"/>
      <c r="AB114" s="87"/>
    </row>
    <row r="115" spans="1:28" ht="15.75" x14ac:dyDescent="0.25">
      <c r="A115" s="19">
        <v>5319</v>
      </c>
      <c r="B115" s="18" t="s">
        <v>246</v>
      </c>
      <c r="C115" s="17" t="s">
        <v>10</v>
      </c>
      <c r="D115" s="17" t="s">
        <v>7</v>
      </c>
      <c r="E115" s="92" t="s">
        <v>44</v>
      </c>
      <c r="G115" s="108" t="s">
        <v>45</v>
      </c>
      <c r="H115" s="20" t="s">
        <v>324</v>
      </c>
      <c r="I115" s="20"/>
      <c r="K115" s="20"/>
      <c r="L115" s="20"/>
      <c r="M115" s="20"/>
      <c r="N115" s="20"/>
      <c r="O115" s="20"/>
      <c r="Q115" s="97">
        <v>159965.71</v>
      </c>
      <c r="R115" s="21">
        <v>159965.71</v>
      </c>
      <c r="S115" s="104"/>
      <c r="U115" s="114"/>
      <c r="W115" s="123" t="s">
        <v>514</v>
      </c>
      <c r="Y115" s="87"/>
      <c r="Z115" s="87"/>
      <c r="AA115" s="87"/>
      <c r="AB115" s="87"/>
    </row>
    <row r="116" spans="1:28" ht="15.75" x14ac:dyDescent="0.25">
      <c r="A116" s="14">
        <v>5549</v>
      </c>
      <c r="B116" s="13" t="s">
        <v>248</v>
      </c>
      <c r="C116" s="8" t="s">
        <v>22</v>
      </c>
      <c r="D116" s="8" t="s">
        <v>7</v>
      </c>
      <c r="E116" s="91" t="s">
        <v>55</v>
      </c>
      <c r="G116" s="107" t="s">
        <v>19</v>
      </c>
      <c r="H116" s="15"/>
      <c r="I116" s="15"/>
      <c r="K116" s="22"/>
      <c r="L116" s="22">
        <v>45867</v>
      </c>
      <c r="M116" s="22"/>
      <c r="N116" s="22"/>
      <c r="O116" s="22"/>
      <c r="Q116" s="96">
        <v>58188.94</v>
      </c>
      <c r="R116" s="16">
        <v>58188.94</v>
      </c>
      <c r="S116" s="103"/>
      <c r="U116" s="114"/>
      <c r="W116" s="119"/>
      <c r="Y116" s="87"/>
      <c r="Z116" s="87"/>
      <c r="AA116" s="87"/>
      <c r="AB116" s="87"/>
    </row>
    <row r="117" spans="1:28" ht="45" x14ac:dyDescent="0.25">
      <c r="A117" s="19">
        <v>4807</v>
      </c>
      <c r="B117" s="18" t="s">
        <v>250</v>
      </c>
      <c r="C117" s="17" t="s">
        <v>10</v>
      </c>
      <c r="D117" s="17" t="s">
        <v>7</v>
      </c>
      <c r="E117" s="92" t="s">
        <v>50</v>
      </c>
      <c r="G117" s="108" t="s">
        <v>36</v>
      </c>
      <c r="H117" s="20" t="s">
        <v>346</v>
      </c>
      <c r="I117" s="20"/>
      <c r="K117" s="20"/>
      <c r="L117" s="20"/>
      <c r="M117" s="20"/>
      <c r="N117" s="20"/>
      <c r="O117" s="20"/>
      <c r="Q117" s="97">
        <v>97358.45</v>
      </c>
      <c r="R117" s="21">
        <v>97358.45</v>
      </c>
      <c r="S117" s="104"/>
      <c r="U117" s="114"/>
      <c r="W117" s="119" t="s">
        <v>518</v>
      </c>
      <c r="Y117" s="87"/>
      <c r="Z117" s="87"/>
      <c r="AA117" s="87"/>
      <c r="AB117" s="87"/>
    </row>
    <row r="118" spans="1:28" ht="15.75" x14ac:dyDescent="0.25">
      <c r="A118" s="14">
        <v>5520</v>
      </c>
      <c r="B118" s="13" t="s">
        <v>252</v>
      </c>
      <c r="C118" s="8" t="s">
        <v>22</v>
      </c>
      <c r="D118" s="8" t="s">
        <v>7</v>
      </c>
      <c r="E118" s="93" t="s">
        <v>55</v>
      </c>
      <c r="G118" s="107" t="s">
        <v>19</v>
      </c>
      <c r="H118" s="15"/>
      <c r="I118" s="15"/>
      <c r="K118" s="22"/>
      <c r="L118" s="22">
        <v>45867</v>
      </c>
      <c r="M118" s="22"/>
      <c r="N118" s="22"/>
      <c r="O118" s="22"/>
      <c r="Q118" s="96">
        <v>24573.599999999999</v>
      </c>
      <c r="R118" s="16">
        <v>24573.599999999999</v>
      </c>
      <c r="S118" s="103"/>
      <c r="U118" s="114"/>
      <c r="W118" s="119"/>
      <c r="Y118" s="87"/>
      <c r="Z118" s="87"/>
      <c r="AA118" s="87"/>
      <c r="AB118" s="87"/>
    </row>
    <row r="119" spans="1:28" x14ac:dyDescent="0.25">
      <c r="A119"/>
      <c r="U119" s="100"/>
      <c r="W119" s="124"/>
      <c r="Y119" s="86"/>
      <c r="Z119" s="86"/>
      <c r="AA119" s="86"/>
      <c r="AB119" s="86"/>
    </row>
    <row r="120" spans="1:28" x14ac:dyDescent="0.25">
      <c r="A120"/>
      <c r="U120" s="100"/>
      <c r="W120" s="124"/>
      <c r="Y120" s="86"/>
      <c r="Z120" s="86"/>
      <c r="AA120" s="86"/>
      <c r="AB120" s="86"/>
    </row>
    <row r="121" spans="1:28" x14ac:dyDescent="0.25">
      <c r="A121"/>
      <c r="U121" s="100"/>
      <c r="W121" s="124"/>
      <c r="Y121" s="86"/>
      <c r="Z121" s="86"/>
      <c r="AA121" s="86"/>
      <c r="AB121" s="86"/>
    </row>
    <row r="122" spans="1:28" x14ac:dyDescent="0.25">
      <c r="A122"/>
      <c r="U122" s="100"/>
      <c r="W122" s="124"/>
      <c r="Y122" s="86"/>
      <c r="Z122" s="86"/>
      <c r="AA122" s="86"/>
      <c r="AB122" s="86"/>
    </row>
    <row r="123" spans="1:28" x14ac:dyDescent="0.25">
      <c r="A123"/>
      <c r="U123" s="100"/>
      <c r="W123" s="124"/>
      <c r="Y123" s="86"/>
      <c r="Z123" s="86"/>
      <c r="AA123" s="86"/>
      <c r="AB123" s="86"/>
    </row>
    <row r="124" spans="1:28" x14ac:dyDescent="0.25">
      <c r="A124"/>
      <c r="U124" s="100"/>
      <c r="W124" s="124"/>
      <c r="Y124" s="86"/>
      <c r="Z124" s="86"/>
      <c r="AA124" s="86"/>
      <c r="AB124" s="86"/>
    </row>
    <row r="125" spans="1:28" x14ac:dyDescent="0.25">
      <c r="A125"/>
      <c r="U125" s="100"/>
      <c r="W125" s="124"/>
      <c r="Y125" s="86"/>
      <c r="Z125" s="86"/>
      <c r="AA125" s="86"/>
      <c r="AB125" s="86"/>
    </row>
    <row r="126" spans="1:28" x14ac:dyDescent="0.25">
      <c r="A126"/>
      <c r="U126" s="100"/>
      <c r="W126" s="124"/>
      <c r="Y126" s="86"/>
      <c r="Z126" s="86"/>
      <c r="AA126" s="86"/>
      <c r="AB126" s="86"/>
    </row>
    <row r="127" spans="1:28" x14ac:dyDescent="0.25">
      <c r="W127" s="26"/>
      <c r="Y127" s="86"/>
      <c r="Z127" s="86"/>
      <c r="AA127" s="86"/>
      <c r="AB127" s="86"/>
    </row>
    <row r="128" spans="1:28" x14ac:dyDescent="0.25">
      <c r="W128" s="26"/>
      <c r="Y128" s="86"/>
      <c r="Z128" s="86"/>
      <c r="AA128" s="86"/>
      <c r="AB128" s="86"/>
    </row>
    <row r="129" spans="1:364" x14ac:dyDescent="0.25">
      <c r="W129" s="26"/>
      <c r="Y129" s="86"/>
      <c r="Z129" s="86"/>
      <c r="AA129" s="86"/>
      <c r="AB129" s="86"/>
    </row>
    <row r="130" spans="1:364" x14ac:dyDescent="0.25">
      <c r="W130" s="26"/>
    </row>
    <row r="131" spans="1:364" x14ac:dyDescent="0.25">
      <c r="W131" s="26"/>
    </row>
    <row r="132" spans="1:364" s="2" customFormat="1" x14ac:dyDescent="0.25">
      <c r="A132" s="1"/>
      <c r="B132"/>
      <c r="C132"/>
      <c r="D132"/>
      <c r="E132"/>
      <c r="F132" s="88"/>
      <c r="J132" s="88"/>
      <c r="P132" s="88"/>
      <c r="Q132"/>
      <c r="T132" s="88"/>
      <c r="V132" s="88"/>
      <c r="W132" s="120"/>
      <c r="X132" s="88"/>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c r="MO132"/>
      <c r="MP132"/>
      <c r="MQ132"/>
      <c r="MR132"/>
      <c r="MS132"/>
      <c r="MT132"/>
      <c r="MU132"/>
      <c r="MV132"/>
      <c r="MW132"/>
      <c r="MX132"/>
      <c r="MY132"/>
      <c r="MZ132"/>
    </row>
    <row r="133" spans="1:364" s="2" customFormat="1" x14ac:dyDescent="0.25">
      <c r="A133" s="1"/>
      <c r="B133"/>
      <c r="C133"/>
      <c r="D133"/>
      <c r="E133"/>
      <c r="F133" s="88"/>
      <c r="J133" s="88"/>
      <c r="P133" s="88"/>
      <c r="Q133"/>
      <c r="T133" s="88"/>
      <c r="V133" s="88"/>
      <c r="W133" s="120"/>
      <c r="X133" s="88"/>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c r="MO133"/>
      <c r="MP133"/>
      <c r="MQ133"/>
      <c r="MR133"/>
      <c r="MS133"/>
      <c r="MT133"/>
      <c r="MU133"/>
      <c r="MV133"/>
      <c r="MW133"/>
      <c r="MX133"/>
      <c r="MY133"/>
      <c r="MZ133"/>
    </row>
    <row r="134" spans="1:364" s="2" customFormat="1" x14ac:dyDescent="0.25">
      <c r="A134" s="1"/>
      <c r="B134"/>
      <c r="C134"/>
      <c r="D134"/>
      <c r="E134"/>
      <c r="F134" s="88"/>
      <c r="J134" s="88"/>
      <c r="P134" s="88"/>
      <c r="Q134"/>
      <c r="T134" s="88"/>
      <c r="V134" s="88"/>
      <c r="W134" s="120"/>
      <c r="X134" s="88"/>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c r="MR134"/>
      <c r="MS134"/>
      <c r="MT134"/>
      <c r="MU134"/>
      <c r="MV134"/>
      <c r="MW134"/>
      <c r="MX134"/>
      <c r="MY134"/>
      <c r="MZ134"/>
    </row>
    <row r="135" spans="1:364" s="2" customFormat="1" x14ac:dyDescent="0.25">
      <c r="A135" s="1"/>
      <c r="B135"/>
      <c r="C135"/>
      <c r="D135"/>
      <c r="E135"/>
      <c r="F135" s="88"/>
      <c r="J135" s="88"/>
      <c r="P135" s="88"/>
      <c r="Q135"/>
      <c r="T135" s="88"/>
      <c r="V135" s="88"/>
      <c r="W135" s="120"/>
      <c r="X135" s="88"/>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c r="MO135"/>
      <c r="MP135"/>
      <c r="MQ135"/>
      <c r="MR135"/>
      <c r="MS135"/>
      <c r="MT135"/>
      <c r="MU135"/>
      <c r="MV135"/>
      <c r="MW135"/>
      <c r="MX135"/>
      <c r="MY135"/>
      <c r="MZ135"/>
    </row>
    <row r="136" spans="1:364" s="2" customFormat="1" x14ac:dyDescent="0.25">
      <c r="A136" s="1"/>
      <c r="B136"/>
      <c r="C136"/>
      <c r="D136"/>
      <c r="E136"/>
      <c r="F136" s="88"/>
      <c r="J136" s="88"/>
      <c r="P136" s="88"/>
      <c r="Q136"/>
      <c r="T136" s="88"/>
      <c r="V136" s="88"/>
      <c r="W136" s="120"/>
      <c r="X136" s="88"/>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c r="MO136"/>
      <c r="MP136"/>
      <c r="MQ136"/>
      <c r="MR136"/>
      <c r="MS136"/>
      <c r="MT136"/>
      <c r="MU136"/>
      <c r="MV136"/>
      <c r="MW136"/>
      <c r="MX136"/>
      <c r="MY136"/>
      <c r="MZ136"/>
    </row>
    <row r="137" spans="1:364" s="2" customFormat="1" x14ac:dyDescent="0.25">
      <c r="A137" s="1"/>
      <c r="B137"/>
      <c r="C137"/>
      <c r="D137"/>
      <c r="E137"/>
      <c r="F137" s="88"/>
      <c r="J137" s="88"/>
      <c r="P137" s="88"/>
      <c r="Q137"/>
      <c r="T137" s="88"/>
      <c r="V137" s="88"/>
      <c r="W137" s="120"/>
      <c r="X137" s="88"/>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c r="MA137"/>
      <c r="MB137"/>
      <c r="MC137"/>
      <c r="MD137"/>
      <c r="ME137"/>
      <c r="MF137"/>
      <c r="MG137"/>
      <c r="MH137"/>
      <c r="MI137"/>
      <c r="MJ137"/>
      <c r="MK137"/>
      <c r="ML137"/>
      <c r="MM137"/>
      <c r="MN137"/>
      <c r="MO137"/>
      <c r="MP137"/>
      <c r="MQ137"/>
      <c r="MR137"/>
      <c r="MS137"/>
      <c r="MT137"/>
      <c r="MU137"/>
      <c r="MV137"/>
      <c r="MW137"/>
      <c r="MX137"/>
      <c r="MY137"/>
      <c r="MZ137"/>
    </row>
    <row r="138" spans="1:364" s="2" customFormat="1" x14ac:dyDescent="0.25">
      <c r="A138" s="1"/>
      <c r="B138"/>
      <c r="C138"/>
      <c r="D138"/>
      <c r="E138"/>
      <c r="F138" s="88"/>
      <c r="J138" s="88"/>
      <c r="P138" s="88"/>
      <c r="Q138"/>
      <c r="T138" s="88"/>
      <c r="V138" s="88"/>
      <c r="W138" s="120"/>
      <c r="X138" s="8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c r="MR138"/>
      <c r="MS138"/>
      <c r="MT138"/>
      <c r="MU138"/>
      <c r="MV138"/>
      <c r="MW138"/>
      <c r="MX138"/>
      <c r="MY138"/>
      <c r="MZ138"/>
    </row>
    <row r="139" spans="1:364" s="2" customFormat="1" x14ac:dyDescent="0.25">
      <c r="A139" s="1"/>
      <c r="B139"/>
      <c r="C139"/>
      <c r="D139"/>
      <c r="E139"/>
      <c r="F139" s="88"/>
      <c r="J139" s="88"/>
      <c r="P139" s="88"/>
      <c r="Q139"/>
      <c r="T139" s="88"/>
      <c r="V139" s="88"/>
      <c r="W139" s="120"/>
      <c r="X139" s="88"/>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c r="MO139"/>
      <c r="MP139"/>
      <c r="MQ139"/>
      <c r="MR139"/>
      <c r="MS139"/>
      <c r="MT139"/>
      <c r="MU139"/>
      <c r="MV139"/>
      <c r="MW139"/>
      <c r="MX139"/>
      <c r="MY139"/>
      <c r="MZ139"/>
    </row>
    <row r="140" spans="1:364" s="2" customFormat="1" x14ac:dyDescent="0.25">
      <c r="A140" s="1"/>
      <c r="B140"/>
      <c r="C140"/>
      <c r="D140"/>
      <c r="E140"/>
      <c r="F140" s="88"/>
      <c r="J140" s="88"/>
      <c r="P140" s="88"/>
      <c r="Q140"/>
      <c r="T140" s="88"/>
      <c r="V140" s="88"/>
      <c r="W140" s="120"/>
      <c r="X140" s="88"/>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c r="MA140"/>
      <c r="MB140"/>
      <c r="MC140"/>
      <c r="MD140"/>
      <c r="ME140"/>
      <c r="MF140"/>
      <c r="MG140"/>
      <c r="MH140"/>
      <c r="MI140"/>
      <c r="MJ140"/>
      <c r="MK140"/>
      <c r="ML140"/>
      <c r="MM140"/>
      <c r="MN140"/>
      <c r="MO140"/>
      <c r="MP140"/>
      <c r="MQ140"/>
      <c r="MR140"/>
      <c r="MS140"/>
      <c r="MT140"/>
      <c r="MU140"/>
      <c r="MV140"/>
      <c r="MW140"/>
      <c r="MX140"/>
      <c r="MY140"/>
      <c r="MZ140"/>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0DD1C-A9E9-4CB3-9BB5-BF754F5B3F71}">
  <dimension ref="A2:BB122"/>
  <sheetViews>
    <sheetView zoomScale="40" zoomScaleNormal="40" workbookViewId="0">
      <pane xSplit="2" ySplit="4" topLeftCell="C5" activePane="bottomRight" state="frozen"/>
      <selection pane="topRight" activeCell="C1" sqref="C1"/>
      <selection pane="bottomLeft" activeCell="A5" sqref="A5"/>
      <selection pane="bottomRight" activeCell="A4" sqref="A4"/>
    </sheetView>
  </sheetViews>
  <sheetFormatPr defaultColWidth="9.140625" defaultRowHeight="15" customHeight="1" x14ac:dyDescent="0.25"/>
  <cols>
    <col min="1" max="1" width="2.85546875" customWidth="1"/>
    <col min="2" max="2" width="48.42578125" style="35" bestFit="1" customWidth="1"/>
    <col min="3" max="3" width="11.28515625" style="1" customWidth="1"/>
    <col min="4" max="4" width="11.5703125" customWidth="1"/>
    <col min="5" max="5" width="13.28515625" style="1" customWidth="1"/>
    <col min="6" max="6" width="30.28515625" customWidth="1"/>
    <col min="7" max="7" width="19.42578125" style="2" customWidth="1"/>
    <col min="8" max="8" width="16.42578125" bestFit="1" customWidth="1"/>
    <col min="9" max="9" width="23.85546875" customWidth="1"/>
    <col min="10" max="10" width="26.140625" style="2" customWidth="1"/>
    <col min="11" max="11" width="14" style="2" customWidth="1"/>
    <col min="12" max="14" width="14" customWidth="1"/>
    <col min="15" max="15" width="14.85546875" style="2" customWidth="1"/>
    <col min="16" max="16" width="74.42578125" customWidth="1"/>
    <col min="17" max="17" width="9.140625" style="1" customWidth="1"/>
    <col min="18" max="18" width="16.140625" style="1" customWidth="1"/>
    <col min="19" max="19" width="18.28515625" style="1" customWidth="1"/>
    <col min="20" max="20" width="19" style="1" customWidth="1"/>
    <col min="21" max="21" width="31.42578125" style="1" customWidth="1"/>
    <col min="22" max="23" width="10.85546875" style="1" customWidth="1"/>
    <col min="24" max="24" width="24.28515625" style="1" customWidth="1"/>
    <col min="25" max="25" width="12" style="1" customWidth="1"/>
    <col min="26" max="26" width="12.140625" style="2" customWidth="1"/>
    <col min="27" max="27" width="31.42578125" style="34" customWidth="1"/>
    <col min="28" max="28" width="21.28515625" customWidth="1"/>
    <col min="29" max="29" width="35.42578125" customWidth="1"/>
    <col min="30" max="30" width="21" customWidth="1"/>
    <col min="31" max="31" width="36.140625" customWidth="1"/>
  </cols>
  <sheetData>
    <row r="2" spans="1:31" ht="15.75" x14ac:dyDescent="0.25">
      <c r="B2" s="30" t="s">
        <v>254</v>
      </c>
      <c r="C2" s="31">
        <f>COUNT(C5:C116)-1</f>
        <v>111</v>
      </c>
      <c r="D2" s="32"/>
      <c r="E2" s="31"/>
      <c r="F2" s="29"/>
      <c r="G2" s="29"/>
      <c r="H2" s="29"/>
      <c r="I2" s="31" t="s">
        <v>255</v>
      </c>
      <c r="J2" s="29">
        <f>COUNTIF(J5:J116,"*complete*")</f>
        <v>83</v>
      </c>
      <c r="K2" s="33"/>
      <c r="L2" s="33"/>
      <c r="M2" s="33"/>
      <c r="N2" s="29">
        <f>COUNTIF(N5:N116,"*yes*")</f>
        <v>63</v>
      </c>
      <c r="O2" s="29">
        <f>COUNTIF(O5:O116,"*yes*")</f>
        <v>1</v>
      </c>
      <c r="P2" s="2"/>
    </row>
    <row r="3" spans="1:31" x14ac:dyDescent="0.25">
      <c r="F3" s="2"/>
      <c r="H3" s="2"/>
      <c r="I3" s="29" t="s">
        <v>256</v>
      </c>
      <c r="J3" s="36">
        <f>J2/$C$2</f>
        <v>0.74774774774774777</v>
      </c>
      <c r="L3" s="36"/>
      <c r="M3" s="36"/>
      <c r="N3" s="36">
        <f>N2/$C$2</f>
        <v>0.56756756756756754</v>
      </c>
      <c r="O3" s="36">
        <f>O2/$C$2</f>
        <v>9.0090090090090089E-3</v>
      </c>
      <c r="P3" s="28"/>
    </row>
    <row r="4" spans="1:31" s="4" customFormat="1" ht="44.1" customHeight="1" x14ac:dyDescent="0.25">
      <c r="A4" s="4" t="s">
        <v>257</v>
      </c>
      <c r="B4" s="37" t="s">
        <v>1</v>
      </c>
      <c r="C4" s="38" t="s">
        <v>2</v>
      </c>
      <c r="D4" s="38" t="s">
        <v>4</v>
      </c>
      <c r="E4" s="38" t="s">
        <v>3</v>
      </c>
      <c r="F4" s="38" t="s">
        <v>5</v>
      </c>
      <c r="G4" s="38" t="s">
        <v>258</v>
      </c>
      <c r="H4" s="38" t="s">
        <v>259</v>
      </c>
      <c r="I4" s="38" t="s">
        <v>260</v>
      </c>
      <c r="J4" s="39" t="s">
        <v>261</v>
      </c>
      <c r="K4" s="38" t="s">
        <v>262</v>
      </c>
      <c r="L4" s="38" t="s">
        <v>263</v>
      </c>
      <c r="M4" s="38" t="s">
        <v>264</v>
      </c>
      <c r="N4" s="39" t="s">
        <v>265</v>
      </c>
      <c r="O4" s="38" t="s">
        <v>266</v>
      </c>
      <c r="P4" s="38" t="s">
        <v>6</v>
      </c>
      <c r="Q4" s="38" t="s">
        <v>267</v>
      </c>
      <c r="R4" s="38" t="s">
        <v>268</v>
      </c>
      <c r="S4" s="38" t="s">
        <v>269</v>
      </c>
      <c r="T4" s="38" t="s">
        <v>270</v>
      </c>
      <c r="U4" s="38" t="s">
        <v>271</v>
      </c>
      <c r="V4" s="38" t="s">
        <v>272</v>
      </c>
      <c r="W4" s="38" t="s">
        <v>273</v>
      </c>
      <c r="X4" s="38" t="s">
        <v>274</v>
      </c>
      <c r="Y4" s="38" t="s">
        <v>275</v>
      </c>
      <c r="Z4" s="38" t="s">
        <v>276</v>
      </c>
      <c r="AA4" s="38" t="s">
        <v>277</v>
      </c>
      <c r="AB4" s="38" t="s">
        <v>278</v>
      </c>
      <c r="AC4" s="40" t="s">
        <v>279</v>
      </c>
      <c r="AD4" s="40" t="s">
        <v>280</v>
      </c>
      <c r="AE4" s="40"/>
    </row>
    <row r="5" spans="1:31" ht="15.75" x14ac:dyDescent="0.25">
      <c r="B5" s="41" t="s">
        <v>8</v>
      </c>
      <c r="C5" s="42">
        <v>8889</v>
      </c>
      <c r="D5" s="43" t="s">
        <v>10</v>
      </c>
      <c r="E5" s="42" t="s">
        <v>9</v>
      </c>
      <c r="F5" s="43" t="s">
        <v>11</v>
      </c>
      <c r="G5" s="44" t="s">
        <v>12</v>
      </c>
      <c r="H5" s="43"/>
      <c r="I5" s="43" t="s">
        <v>281</v>
      </c>
      <c r="J5" s="45" t="s">
        <v>282</v>
      </c>
      <c r="K5" s="44"/>
      <c r="L5" s="43"/>
      <c r="M5" s="43"/>
      <c r="N5" s="43"/>
      <c r="O5" s="44"/>
      <c r="P5" s="46"/>
      <c r="Q5" s="47"/>
      <c r="R5"/>
      <c r="S5"/>
      <c r="T5"/>
      <c r="U5" s="23" t="s">
        <v>283</v>
      </c>
      <c r="V5" t="s">
        <v>284</v>
      </c>
      <c r="W5"/>
      <c r="X5"/>
      <c r="Y5"/>
    </row>
    <row r="6" spans="1:31" ht="15.75" x14ac:dyDescent="0.25">
      <c r="B6" s="41" t="s">
        <v>13</v>
      </c>
      <c r="C6" s="42">
        <v>1</v>
      </c>
      <c r="D6" s="43" t="s">
        <v>10</v>
      </c>
      <c r="E6" s="42" t="s">
        <v>14</v>
      </c>
      <c r="F6" s="43" t="s">
        <v>15</v>
      </c>
      <c r="G6" s="44" t="s">
        <v>12</v>
      </c>
      <c r="H6" s="43"/>
      <c r="I6" s="43" t="s">
        <v>281</v>
      </c>
      <c r="J6" s="45" t="s">
        <v>285</v>
      </c>
      <c r="K6" s="44"/>
      <c r="L6" s="43"/>
      <c r="M6" s="43"/>
      <c r="N6" s="43"/>
      <c r="O6" s="44"/>
      <c r="P6" s="48"/>
      <c r="Q6" s="47"/>
      <c r="R6"/>
      <c r="S6"/>
      <c r="T6"/>
      <c r="U6" s="23" t="s">
        <v>283</v>
      </c>
      <c r="V6" t="s">
        <v>284</v>
      </c>
      <c r="W6"/>
      <c r="X6"/>
      <c r="Y6"/>
    </row>
    <row r="7" spans="1:31" ht="90" x14ac:dyDescent="0.25">
      <c r="B7" s="49" t="s">
        <v>16</v>
      </c>
      <c r="C7" s="42">
        <v>8874</v>
      </c>
      <c r="D7" s="43" t="s">
        <v>10</v>
      </c>
      <c r="E7" s="42" t="s">
        <v>17</v>
      </c>
      <c r="F7" s="43" t="s">
        <v>18</v>
      </c>
      <c r="G7" s="44" t="s">
        <v>19</v>
      </c>
      <c r="H7" s="43" t="s">
        <v>286</v>
      </c>
      <c r="I7" s="43" t="s">
        <v>281</v>
      </c>
      <c r="J7" s="44" t="s">
        <v>287</v>
      </c>
      <c r="K7" s="45" t="s">
        <v>284</v>
      </c>
      <c r="L7" s="45">
        <v>46002</v>
      </c>
      <c r="M7" s="43" t="s">
        <v>288</v>
      </c>
      <c r="N7" s="43"/>
      <c r="O7" s="44"/>
      <c r="P7" s="50" t="s">
        <v>289</v>
      </c>
      <c r="Q7" s="43" t="s">
        <v>290</v>
      </c>
      <c r="U7" s="51" t="s">
        <v>291</v>
      </c>
      <c r="V7" s="51" t="s">
        <v>292</v>
      </c>
      <c r="W7" s="1" t="s">
        <v>293</v>
      </c>
      <c r="X7" s="1" t="s">
        <v>294</v>
      </c>
      <c r="Y7" s="1" t="s">
        <v>294</v>
      </c>
      <c r="Z7" s="2" t="s">
        <v>295</v>
      </c>
      <c r="AC7" s="52" t="s">
        <v>296</v>
      </c>
      <c r="AD7" s="52" t="s">
        <v>297</v>
      </c>
    </row>
    <row r="8" spans="1:31" ht="150" x14ac:dyDescent="0.25">
      <c r="B8" s="49" t="s">
        <v>20</v>
      </c>
      <c r="C8" s="42">
        <v>5287</v>
      </c>
      <c r="D8" s="43" t="s">
        <v>22</v>
      </c>
      <c r="E8" s="42" t="s">
        <v>21</v>
      </c>
      <c r="F8" s="43" t="s">
        <v>23</v>
      </c>
      <c r="G8" s="44" t="s">
        <v>19</v>
      </c>
      <c r="H8" s="43" t="s">
        <v>298</v>
      </c>
      <c r="I8" s="43" t="s">
        <v>281</v>
      </c>
      <c r="J8" s="44">
        <v>46055</v>
      </c>
      <c r="K8" s="44" t="s">
        <v>299</v>
      </c>
      <c r="L8" s="44">
        <v>46050</v>
      </c>
      <c r="M8" s="43"/>
      <c r="N8" s="43"/>
      <c r="O8" s="44"/>
      <c r="P8" s="50" t="s">
        <v>300</v>
      </c>
      <c r="Q8" s="43" t="s">
        <v>290</v>
      </c>
      <c r="U8" s="51" t="s">
        <v>301</v>
      </c>
      <c r="V8" s="51" t="s">
        <v>292</v>
      </c>
      <c r="W8" s="1" t="s">
        <v>293</v>
      </c>
      <c r="X8" s="1" t="s">
        <v>294</v>
      </c>
      <c r="Y8" s="1" t="s">
        <v>294</v>
      </c>
      <c r="Z8" s="2" t="s">
        <v>295</v>
      </c>
      <c r="AA8" s="53" t="s">
        <v>302</v>
      </c>
      <c r="AC8" s="54" t="s">
        <v>303</v>
      </c>
    </row>
    <row r="9" spans="1:31" ht="240" x14ac:dyDescent="0.25">
      <c r="B9" s="49" t="s">
        <v>24</v>
      </c>
      <c r="C9" s="42">
        <v>4931</v>
      </c>
      <c r="D9" s="43" t="s">
        <v>22</v>
      </c>
      <c r="E9" s="42" t="s">
        <v>25</v>
      </c>
      <c r="F9" s="43" t="s">
        <v>23</v>
      </c>
      <c r="G9" s="44" t="s">
        <v>19</v>
      </c>
      <c r="H9" s="43" t="s">
        <v>298</v>
      </c>
      <c r="I9" s="43"/>
      <c r="J9" s="55">
        <v>46096</v>
      </c>
      <c r="K9" s="44"/>
      <c r="L9" s="44">
        <v>45850</v>
      </c>
      <c r="M9" s="43"/>
      <c r="N9" s="43"/>
      <c r="O9" s="44"/>
      <c r="P9" s="50" t="s">
        <v>304</v>
      </c>
      <c r="Q9" s="43" t="s">
        <v>290</v>
      </c>
      <c r="U9" s="51" t="s">
        <v>305</v>
      </c>
      <c r="V9" s="1" t="s">
        <v>294</v>
      </c>
      <c r="X9" s="1" t="s">
        <v>294</v>
      </c>
      <c r="Y9" s="1" t="s">
        <v>294</v>
      </c>
      <c r="Z9" s="2" t="s">
        <v>295</v>
      </c>
      <c r="AA9" s="53" t="s">
        <v>306</v>
      </c>
      <c r="AB9" t="s">
        <v>307</v>
      </c>
      <c r="AC9" t="s">
        <v>308</v>
      </c>
    </row>
    <row r="10" spans="1:31" ht="15.75" x14ac:dyDescent="0.25">
      <c r="B10" s="56" t="s">
        <v>26</v>
      </c>
      <c r="C10" s="42">
        <v>800</v>
      </c>
      <c r="D10" s="43" t="s">
        <v>22</v>
      </c>
      <c r="E10" s="42" t="s">
        <v>27</v>
      </c>
      <c r="F10" s="43" t="s">
        <v>28</v>
      </c>
      <c r="G10" s="45" t="s">
        <v>29</v>
      </c>
      <c r="H10" s="57"/>
      <c r="I10" s="57" t="s">
        <v>309</v>
      </c>
      <c r="J10" s="45" t="s">
        <v>310</v>
      </c>
      <c r="K10" s="45" t="s">
        <v>311</v>
      </c>
      <c r="L10" s="45" t="s">
        <v>311</v>
      </c>
      <c r="M10" s="45" t="s">
        <v>311</v>
      </c>
      <c r="N10" s="45" t="s">
        <v>311</v>
      </c>
      <c r="O10" s="45"/>
      <c r="P10" s="58"/>
      <c r="Q10" s="59"/>
      <c r="R10" s="23"/>
      <c r="S10" s="23"/>
      <c r="T10" s="23"/>
      <c r="U10" s="23" t="s">
        <v>283</v>
      </c>
      <c r="V10" s="23" t="s">
        <v>284</v>
      </c>
      <c r="W10" s="23"/>
      <c r="X10"/>
      <c r="Y10"/>
    </row>
    <row r="11" spans="1:31" ht="15.75" x14ac:dyDescent="0.25">
      <c r="B11" s="49" t="s">
        <v>30</v>
      </c>
      <c r="C11" s="42">
        <v>4848</v>
      </c>
      <c r="D11" s="43" t="s">
        <v>22</v>
      </c>
      <c r="E11" s="42" t="s">
        <v>31</v>
      </c>
      <c r="F11" s="43" t="s">
        <v>32</v>
      </c>
      <c r="G11" s="44" t="s">
        <v>19</v>
      </c>
      <c r="H11" s="43"/>
      <c r="I11" s="43" t="s">
        <v>281</v>
      </c>
      <c r="J11" s="45" t="s">
        <v>312</v>
      </c>
      <c r="K11" s="44"/>
      <c r="L11" s="43"/>
      <c r="M11" s="43"/>
      <c r="N11" s="43"/>
      <c r="O11" s="44"/>
      <c r="P11" s="46"/>
      <c r="Q11" s="47"/>
      <c r="R11"/>
      <c r="S11"/>
      <c r="T11"/>
      <c r="U11" s="23" t="s">
        <v>283</v>
      </c>
      <c r="V11" t="s">
        <v>284</v>
      </c>
      <c r="W11"/>
      <c r="X11"/>
      <c r="Y11"/>
    </row>
    <row r="12" spans="1:31" ht="15.75" x14ac:dyDescent="0.25">
      <c r="B12" s="56" t="s">
        <v>33</v>
      </c>
      <c r="C12" s="42">
        <v>8777</v>
      </c>
      <c r="D12" s="43" t="s">
        <v>22</v>
      </c>
      <c r="E12" s="42" t="s">
        <v>34</v>
      </c>
      <c r="F12" s="43" t="s">
        <v>35</v>
      </c>
      <c r="G12" s="45" t="s">
        <v>36</v>
      </c>
      <c r="H12" s="57"/>
      <c r="I12" s="57" t="s">
        <v>309</v>
      </c>
      <c r="J12" s="45" t="s">
        <v>313</v>
      </c>
      <c r="K12" s="45" t="s">
        <v>311</v>
      </c>
      <c r="L12" s="45" t="s">
        <v>311</v>
      </c>
      <c r="M12" s="45" t="s">
        <v>311</v>
      </c>
      <c r="N12" s="45" t="s">
        <v>311</v>
      </c>
      <c r="O12" s="45"/>
      <c r="P12" s="58"/>
      <c r="Q12" s="59"/>
      <c r="R12" s="23"/>
      <c r="S12" s="23"/>
      <c r="T12" s="23"/>
      <c r="U12" s="23" t="s">
        <v>283</v>
      </c>
      <c r="V12" s="23" t="s">
        <v>284</v>
      </c>
      <c r="W12" s="23"/>
      <c r="X12"/>
      <c r="Y12"/>
    </row>
    <row r="13" spans="1:31" ht="150" x14ac:dyDescent="0.25">
      <c r="A13" t="s">
        <v>314</v>
      </c>
      <c r="B13" s="60" t="s">
        <v>37</v>
      </c>
      <c r="C13" s="42">
        <v>8466</v>
      </c>
      <c r="D13" s="43" t="s">
        <v>10</v>
      </c>
      <c r="E13" s="42" t="s">
        <v>38</v>
      </c>
      <c r="F13" s="43" t="s">
        <v>39</v>
      </c>
      <c r="G13" s="44" t="s">
        <v>12</v>
      </c>
      <c r="H13" s="43" t="s">
        <v>315</v>
      </c>
      <c r="I13" s="43" t="s">
        <v>281</v>
      </c>
      <c r="J13" s="61"/>
      <c r="K13" s="61" t="s">
        <v>316</v>
      </c>
      <c r="L13" s="43" t="s">
        <v>290</v>
      </c>
      <c r="M13" s="43"/>
      <c r="N13" s="43"/>
      <c r="O13" s="44"/>
      <c r="P13" s="62" t="s">
        <v>317</v>
      </c>
      <c r="Q13" s="43" t="s">
        <v>290</v>
      </c>
      <c r="S13" s="1" t="s">
        <v>318</v>
      </c>
      <c r="U13" s="51" t="s">
        <v>319</v>
      </c>
      <c r="V13" s="1" t="s">
        <v>294</v>
      </c>
      <c r="W13" s="1" t="s">
        <v>293</v>
      </c>
      <c r="X13" s="1" t="s">
        <v>294</v>
      </c>
      <c r="Y13" s="1" t="s">
        <v>294</v>
      </c>
      <c r="Z13" s="2" t="s">
        <v>295</v>
      </c>
      <c r="AB13" t="s">
        <v>320</v>
      </c>
      <c r="AC13" s="54" t="s">
        <v>321</v>
      </c>
      <c r="AE13" t="s">
        <v>322</v>
      </c>
    </row>
    <row r="14" spans="1:31" ht="15.75" x14ac:dyDescent="0.25">
      <c r="B14" s="56" t="s">
        <v>40</v>
      </c>
      <c r="C14" s="42">
        <v>5560</v>
      </c>
      <c r="D14" s="43" t="s">
        <v>10</v>
      </c>
      <c r="E14" s="42" t="s">
        <v>41</v>
      </c>
      <c r="F14" s="43" t="s">
        <v>18</v>
      </c>
      <c r="G14" s="45" t="s">
        <v>19</v>
      </c>
      <c r="H14" s="57" t="s">
        <v>286</v>
      </c>
      <c r="I14" s="57" t="s">
        <v>309</v>
      </c>
      <c r="J14" s="45" t="s">
        <v>323</v>
      </c>
      <c r="K14" s="45" t="s">
        <v>311</v>
      </c>
      <c r="L14" s="45" t="s">
        <v>311</v>
      </c>
      <c r="M14" s="45" t="s">
        <v>311</v>
      </c>
      <c r="N14" s="45" t="s">
        <v>311</v>
      </c>
      <c r="O14" s="45"/>
      <c r="P14" s="58"/>
      <c r="Q14" s="57" t="s">
        <v>290</v>
      </c>
      <c r="R14" s="63"/>
      <c r="S14" s="63"/>
      <c r="T14" s="63"/>
      <c r="U14" s="63" t="s">
        <v>283</v>
      </c>
      <c r="V14" s="63" t="s">
        <v>284</v>
      </c>
      <c r="W14" s="63"/>
    </row>
    <row r="15" spans="1:31" ht="150" x14ac:dyDescent="0.25">
      <c r="B15" s="64" t="s">
        <v>42</v>
      </c>
      <c r="C15" s="42">
        <v>4803</v>
      </c>
      <c r="D15" s="43" t="s">
        <v>10</v>
      </c>
      <c r="E15" s="42" t="s">
        <v>43</v>
      </c>
      <c r="F15" s="43" t="s">
        <v>44</v>
      </c>
      <c r="G15" s="44" t="s">
        <v>45</v>
      </c>
      <c r="H15" s="43" t="s">
        <v>324</v>
      </c>
      <c r="I15" s="43" t="s">
        <v>281</v>
      </c>
      <c r="J15" s="61"/>
      <c r="K15" s="44" t="s">
        <v>299</v>
      </c>
      <c r="L15" s="43"/>
      <c r="M15" s="43"/>
      <c r="N15" s="44">
        <v>46175</v>
      </c>
      <c r="O15" s="44"/>
      <c r="P15" s="62" t="s">
        <v>325</v>
      </c>
      <c r="Q15" s="43" t="s">
        <v>290</v>
      </c>
      <c r="T15" s="1" t="s">
        <v>326</v>
      </c>
      <c r="U15" s="51" t="s">
        <v>327</v>
      </c>
      <c r="W15" s="1" t="s">
        <v>293</v>
      </c>
      <c r="X15" s="1" t="s">
        <v>294</v>
      </c>
      <c r="Y15" s="1" t="s">
        <v>294</v>
      </c>
      <c r="Z15" s="2" t="s">
        <v>294</v>
      </c>
      <c r="AC15" t="s">
        <v>328</v>
      </c>
    </row>
    <row r="16" spans="1:31" ht="15.75" x14ac:dyDescent="0.25">
      <c r="B16" s="41" t="s">
        <v>46</v>
      </c>
      <c r="C16" s="42">
        <v>319</v>
      </c>
      <c r="D16" s="43" t="s">
        <v>22</v>
      </c>
      <c r="E16" s="42" t="s">
        <v>47</v>
      </c>
      <c r="F16" s="43" t="s">
        <v>35</v>
      </c>
      <c r="G16" s="44" t="s">
        <v>36</v>
      </c>
      <c r="H16" s="43"/>
      <c r="I16" s="43" t="s">
        <v>281</v>
      </c>
      <c r="J16" s="45" t="s">
        <v>329</v>
      </c>
      <c r="K16" s="44"/>
      <c r="L16" s="43"/>
      <c r="M16" s="43"/>
      <c r="N16" s="43"/>
      <c r="O16" s="44"/>
      <c r="P16" s="46"/>
      <c r="Q16" s="47"/>
      <c r="R16"/>
      <c r="S16"/>
      <c r="T16"/>
      <c r="U16" s="23" t="s">
        <v>283</v>
      </c>
      <c r="V16" t="s">
        <v>284</v>
      </c>
      <c r="W16"/>
      <c r="X16"/>
      <c r="Y16"/>
    </row>
    <row r="17" spans="2:31" ht="345" x14ac:dyDescent="0.25">
      <c r="B17" s="65" t="s">
        <v>48</v>
      </c>
      <c r="C17" s="42">
        <v>7603</v>
      </c>
      <c r="D17" s="43" t="s">
        <v>10</v>
      </c>
      <c r="E17" s="42" t="s">
        <v>49</v>
      </c>
      <c r="F17" s="43" t="s">
        <v>50</v>
      </c>
      <c r="G17" s="44" t="s">
        <v>36</v>
      </c>
      <c r="H17" s="43" t="s">
        <v>298</v>
      </c>
      <c r="I17" s="43"/>
      <c r="J17" s="55">
        <v>46062</v>
      </c>
      <c r="K17" s="44" t="s">
        <v>316</v>
      </c>
      <c r="L17" s="43"/>
      <c r="M17" s="43"/>
      <c r="N17" s="43"/>
      <c r="O17" s="44"/>
      <c r="P17" s="50" t="s">
        <v>330</v>
      </c>
      <c r="Q17" s="43" t="s">
        <v>290</v>
      </c>
      <c r="U17" s="51" t="s">
        <v>331</v>
      </c>
      <c r="W17" s="1" t="s">
        <v>293</v>
      </c>
      <c r="X17" s="1" t="s">
        <v>294</v>
      </c>
      <c r="Y17" s="1" t="s">
        <v>294</v>
      </c>
      <c r="Z17" s="2" t="s">
        <v>295</v>
      </c>
      <c r="AA17" s="53" t="s">
        <v>332</v>
      </c>
      <c r="AB17" t="s">
        <v>333</v>
      </c>
      <c r="AC17" t="s">
        <v>334</v>
      </c>
    </row>
    <row r="18" spans="2:31" ht="120" x14ac:dyDescent="0.25">
      <c r="B18" s="49" t="s">
        <v>51</v>
      </c>
      <c r="C18" s="42">
        <v>7670</v>
      </c>
      <c r="D18" s="43" t="s">
        <v>22</v>
      </c>
      <c r="E18" s="42" t="s">
        <v>52</v>
      </c>
      <c r="F18" s="43" t="s">
        <v>32</v>
      </c>
      <c r="G18" s="44" t="s">
        <v>19</v>
      </c>
      <c r="H18" s="43" t="s">
        <v>335</v>
      </c>
      <c r="I18" s="43"/>
      <c r="J18" s="44">
        <v>46059</v>
      </c>
      <c r="K18" s="44"/>
      <c r="L18" s="43"/>
      <c r="M18" s="43"/>
      <c r="N18" s="43"/>
      <c r="O18" s="44"/>
      <c r="P18" s="50" t="s">
        <v>336</v>
      </c>
      <c r="Q18" s="43" t="s">
        <v>290</v>
      </c>
      <c r="U18" s="51" t="s">
        <v>337</v>
      </c>
      <c r="V18" s="1" t="s">
        <v>294</v>
      </c>
      <c r="W18" s="1" t="s">
        <v>338</v>
      </c>
      <c r="X18" s="1" t="s">
        <v>294</v>
      </c>
      <c r="Y18" s="1" t="s">
        <v>294</v>
      </c>
      <c r="Z18" s="2" t="s">
        <v>295</v>
      </c>
      <c r="AA18" s="34" t="s">
        <v>339</v>
      </c>
      <c r="AC18" s="54" t="s">
        <v>340</v>
      </c>
    </row>
    <row r="19" spans="2:31" ht="210" x14ac:dyDescent="0.25">
      <c r="B19" s="49" t="s">
        <v>53</v>
      </c>
      <c r="C19" s="42">
        <v>5383</v>
      </c>
      <c r="D19" s="43" t="s">
        <v>22</v>
      </c>
      <c r="E19" s="42" t="s">
        <v>54</v>
      </c>
      <c r="F19" s="43" t="s">
        <v>55</v>
      </c>
      <c r="G19" s="44" t="s">
        <v>19</v>
      </c>
      <c r="H19" s="43" t="s">
        <v>335</v>
      </c>
      <c r="I19" s="43"/>
      <c r="J19" s="55">
        <v>46101</v>
      </c>
      <c r="K19" s="44"/>
      <c r="L19" s="44">
        <v>46108</v>
      </c>
      <c r="M19" s="43"/>
      <c r="N19" s="43"/>
      <c r="O19" s="44"/>
      <c r="P19" s="50" t="s">
        <v>341</v>
      </c>
      <c r="Q19" s="43" t="s">
        <v>290</v>
      </c>
      <c r="U19" s="51" t="s">
        <v>342</v>
      </c>
      <c r="V19" s="1" t="s">
        <v>294</v>
      </c>
      <c r="W19" s="1" t="s">
        <v>338</v>
      </c>
      <c r="X19" s="1" t="s">
        <v>294</v>
      </c>
      <c r="Y19" s="1" t="s">
        <v>294</v>
      </c>
      <c r="AA19" s="34" t="s">
        <v>343</v>
      </c>
      <c r="AC19" t="s">
        <v>344</v>
      </c>
    </row>
    <row r="20" spans="2:31" ht="15.75" x14ac:dyDescent="0.25">
      <c r="B20" s="56" t="s">
        <v>56</v>
      </c>
      <c r="C20" s="42">
        <v>2897</v>
      </c>
      <c r="D20" s="43" t="s">
        <v>10</v>
      </c>
      <c r="E20" s="42" t="s">
        <v>57</v>
      </c>
      <c r="F20" s="43" t="s">
        <v>11</v>
      </c>
      <c r="G20" s="45" t="s">
        <v>12</v>
      </c>
      <c r="H20" s="57"/>
      <c r="I20" s="57" t="s">
        <v>309</v>
      </c>
      <c r="J20" s="45" t="s">
        <v>345</v>
      </c>
      <c r="K20" s="45" t="s">
        <v>311</v>
      </c>
      <c r="L20" s="45" t="s">
        <v>311</v>
      </c>
      <c r="M20" s="45" t="s">
        <v>311</v>
      </c>
      <c r="N20" s="45" t="s">
        <v>311</v>
      </c>
      <c r="O20" s="45"/>
      <c r="P20" s="58"/>
      <c r="Q20" s="59"/>
      <c r="R20" s="23"/>
      <c r="S20" s="23"/>
      <c r="T20" s="23"/>
      <c r="U20" s="23" t="s">
        <v>283</v>
      </c>
      <c r="V20" s="23" t="s">
        <v>284</v>
      </c>
      <c r="W20" s="23"/>
      <c r="X20"/>
      <c r="Y20"/>
    </row>
    <row r="21" spans="2:31" ht="195" x14ac:dyDescent="0.25">
      <c r="B21" s="41" t="s">
        <v>58</v>
      </c>
      <c r="C21" s="42">
        <v>5435</v>
      </c>
      <c r="D21" s="43" t="s">
        <v>10</v>
      </c>
      <c r="E21" s="42" t="s">
        <v>59</v>
      </c>
      <c r="F21" s="43" t="s">
        <v>50</v>
      </c>
      <c r="G21" s="44" t="s">
        <v>36</v>
      </c>
      <c r="H21" s="43" t="s">
        <v>346</v>
      </c>
      <c r="I21" s="43"/>
      <c r="J21" s="44">
        <v>46082</v>
      </c>
      <c r="K21" s="44"/>
      <c r="L21" s="44">
        <v>46087</v>
      </c>
      <c r="M21" s="43"/>
      <c r="N21" s="44">
        <v>46094</v>
      </c>
      <c r="O21" s="44"/>
      <c r="P21" s="66" t="s">
        <v>347</v>
      </c>
      <c r="Q21" s="43" t="s">
        <v>290</v>
      </c>
      <c r="U21" s="51" t="s">
        <v>348</v>
      </c>
      <c r="W21" s="1" t="s">
        <v>293</v>
      </c>
      <c r="X21" s="1" t="s">
        <v>294</v>
      </c>
      <c r="Y21" s="1" t="s">
        <v>294</v>
      </c>
      <c r="Z21" s="2" t="s">
        <v>295</v>
      </c>
      <c r="AA21" s="53" t="s">
        <v>349</v>
      </c>
      <c r="AB21" s="1" t="s">
        <v>350</v>
      </c>
      <c r="AC21" s="54" t="s">
        <v>351</v>
      </c>
      <c r="AE21" s="54" t="s">
        <v>352</v>
      </c>
    </row>
    <row r="22" spans="2:31" ht="15.75" x14ac:dyDescent="0.25">
      <c r="B22" s="67" t="s">
        <v>60</v>
      </c>
      <c r="C22" s="68">
        <v>3341</v>
      </c>
      <c r="D22" s="57" t="s">
        <v>10</v>
      </c>
      <c r="E22" s="68" t="s">
        <v>61</v>
      </c>
      <c r="F22" s="57" t="s">
        <v>62</v>
      </c>
      <c r="G22" s="45" t="s">
        <v>36</v>
      </c>
      <c r="H22" s="57" t="s">
        <v>353</v>
      </c>
      <c r="I22" s="57" t="s">
        <v>309</v>
      </c>
      <c r="J22" s="45"/>
      <c r="K22" s="45"/>
      <c r="L22" s="57" t="s">
        <v>354</v>
      </c>
      <c r="M22" s="57"/>
      <c r="N22" s="45">
        <v>46037</v>
      </c>
      <c r="O22" s="44"/>
      <c r="P22" s="46" t="s">
        <v>355</v>
      </c>
      <c r="Q22" s="43" t="s">
        <v>290</v>
      </c>
      <c r="U22" s="63" t="s">
        <v>283</v>
      </c>
      <c r="V22" s="1" t="s">
        <v>284</v>
      </c>
      <c r="W22" s="1" t="s">
        <v>356</v>
      </c>
      <c r="X22" s="1" t="s">
        <v>294</v>
      </c>
      <c r="Y22" s="1" t="s">
        <v>294</v>
      </c>
      <c r="Z22" s="2" t="s">
        <v>294</v>
      </c>
      <c r="AA22" s="34" t="s">
        <v>357</v>
      </c>
      <c r="AC22" s="54" t="s">
        <v>358</v>
      </c>
    </row>
    <row r="23" spans="2:31" ht="15.75" x14ac:dyDescent="0.25">
      <c r="B23" s="56" t="s">
        <v>63</v>
      </c>
      <c r="C23" s="42">
        <v>2061</v>
      </c>
      <c r="D23" s="43" t="s">
        <v>22</v>
      </c>
      <c r="E23" s="42" t="s">
        <v>64</v>
      </c>
      <c r="F23" s="43" t="s">
        <v>35</v>
      </c>
      <c r="G23" s="45" t="s">
        <v>36</v>
      </c>
      <c r="H23" s="57"/>
      <c r="I23" s="57" t="s">
        <v>309</v>
      </c>
      <c r="J23" s="45" t="s">
        <v>359</v>
      </c>
      <c r="K23" s="45" t="s">
        <v>311</v>
      </c>
      <c r="L23" s="45" t="s">
        <v>311</v>
      </c>
      <c r="M23" s="45" t="s">
        <v>311</v>
      </c>
      <c r="N23" s="45" t="s">
        <v>311</v>
      </c>
      <c r="O23" s="45"/>
      <c r="P23" s="58"/>
      <c r="Q23" s="59"/>
      <c r="R23" s="23"/>
      <c r="S23" s="23"/>
      <c r="T23" s="23"/>
      <c r="U23" s="23" t="s">
        <v>283</v>
      </c>
      <c r="V23" s="23" t="s">
        <v>284</v>
      </c>
      <c r="W23" s="23"/>
      <c r="X23"/>
      <c r="Y23"/>
    </row>
    <row r="24" spans="2:31" ht="15.75" x14ac:dyDescent="0.25">
      <c r="B24" s="41" t="s">
        <v>65</v>
      </c>
      <c r="C24" s="42">
        <v>4384</v>
      </c>
      <c r="D24" s="43" t="s">
        <v>10</v>
      </c>
      <c r="E24" s="42" t="s">
        <v>66</v>
      </c>
      <c r="F24" s="43" t="s">
        <v>62</v>
      </c>
      <c r="G24" s="44" t="s">
        <v>36</v>
      </c>
      <c r="H24" s="43"/>
      <c r="I24" s="43" t="s">
        <v>281</v>
      </c>
      <c r="J24" s="45" t="s">
        <v>360</v>
      </c>
      <c r="K24" s="44"/>
      <c r="L24" s="43"/>
      <c r="M24" s="43"/>
      <c r="N24" s="43"/>
      <c r="O24" s="44"/>
      <c r="P24" s="46"/>
      <c r="Q24" s="47"/>
      <c r="R24"/>
      <c r="S24"/>
      <c r="T24"/>
      <c r="U24" s="23" t="s">
        <v>283</v>
      </c>
      <c r="V24" t="s">
        <v>284</v>
      </c>
      <c r="W24"/>
      <c r="X24"/>
      <c r="Y24"/>
    </row>
    <row r="25" spans="2:31" ht="15.75" x14ac:dyDescent="0.25">
      <c r="B25" s="56" t="s">
        <v>67</v>
      </c>
      <c r="C25" s="42">
        <v>3664</v>
      </c>
      <c r="D25" s="43" t="s">
        <v>10</v>
      </c>
      <c r="E25" s="42" t="s">
        <v>68</v>
      </c>
      <c r="F25" s="43" t="s">
        <v>18</v>
      </c>
      <c r="G25" s="45" t="s">
        <v>19</v>
      </c>
      <c r="H25" s="57" t="s">
        <v>286</v>
      </c>
      <c r="I25" s="57" t="s">
        <v>309</v>
      </c>
      <c r="J25" s="45" t="s">
        <v>323</v>
      </c>
      <c r="K25" s="45" t="s">
        <v>311</v>
      </c>
      <c r="L25" s="45" t="s">
        <v>311</v>
      </c>
      <c r="M25" s="45" t="s">
        <v>311</v>
      </c>
      <c r="N25" s="45" t="s">
        <v>311</v>
      </c>
      <c r="O25" s="45"/>
      <c r="P25" s="58"/>
      <c r="Q25" s="57" t="s">
        <v>290</v>
      </c>
      <c r="R25" s="63"/>
      <c r="S25" s="63"/>
      <c r="T25" s="63"/>
      <c r="U25" s="63" t="s">
        <v>283</v>
      </c>
      <c r="V25" s="63" t="s">
        <v>284</v>
      </c>
      <c r="W25" s="63"/>
      <c r="Z25" s="2" t="s">
        <v>295</v>
      </c>
    </row>
    <row r="26" spans="2:31" ht="195" x14ac:dyDescent="0.25">
      <c r="B26" s="49" t="s">
        <v>69</v>
      </c>
      <c r="C26" s="42">
        <v>5090</v>
      </c>
      <c r="D26" s="43" t="s">
        <v>22</v>
      </c>
      <c r="E26" s="42" t="s">
        <v>70</v>
      </c>
      <c r="F26" s="43" t="s">
        <v>23</v>
      </c>
      <c r="G26" s="44" t="s">
        <v>19</v>
      </c>
      <c r="H26" s="43" t="s">
        <v>298</v>
      </c>
      <c r="I26" s="43"/>
      <c r="J26" s="44">
        <v>46073</v>
      </c>
      <c r="K26" s="44"/>
      <c r="L26" s="44">
        <v>46071</v>
      </c>
      <c r="M26" s="43"/>
      <c r="N26" s="43"/>
      <c r="O26" s="44"/>
      <c r="P26" s="50" t="s">
        <v>361</v>
      </c>
      <c r="Q26" s="43" t="s">
        <v>290</v>
      </c>
      <c r="U26" s="51" t="s">
        <v>362</v>
      </c>
      <c r="V26" s="1" t="s">
        <v>294</v>
      </c>
      <c r="W26" s="1" t="s">
        <v>293</v>
      </c>
      <c r="X26" s="1" t="s">
        <v>294</v>
      </c>
      <c r="Y26" s="1" t="s">
        <v>294</v>
      </c>
      <c r="Z26" s="2" t="s">
        <v>295</v>
      </c>
      <c r="AA26" s="53" t="s">
        <v>363</v>
      </c>
      <c r="AC26" s="54" t="s">
        <v>364</v>
      </c>
    </row>
    <row r="27" spans="2:31" ht="15.75" x14ac:dyDescent="0.25">
      <c r="B27" s="49" t="s">
        <v>71</v>
      </c>
      <c r="C27" s="42">
        <v>8864</v>
      </c>
      <c r="D27" s="43" t="s">
        <v>22</v>
      </c>
      <c r="E27" s="42" t="s">
        <v>72</v>
      </c>
      <c r="F27" s="43" t="s">
        <v>28</v>
      </c>
      <c r="G27" s="44" t="s">
        <v>29</v>
      </c>
      <c r="H27" s="43"/>
      <c r="I27" s="43" t="s">
        <v>281</v>
      </c>
      <c r="J27" s="45" t="s">
        <v>365</v>
      </c>
      <c r="K27" s="44"/>
      <c r="L27" s="43"/>
      <c r="M27" s="43"/>
      <c r="N27" s="43"/>
      <c r="O27" s="44"/>
      <c r="P27" s="46"/>
      <c r="Q27" s="47"/>
      <c r="R27"/>
      <c r="S27"/>
      <c r="T27"/>
      <c r="U27" s="23" t="s">
        <v>283</v>
      </c>
      <c r="V27" t="s">
        <v>284</v>
      </c>
      <c r="W27"/>
      <c r="X27"/>
      <c r="Y27"/>
    </row>
    <row r="28" spans="2:31" ht="15.75" x14ac:dyDescent="0.25">
      <c r="B28" s="56" t="s">
        <v>73</v>
      </c>
      <c r="C28" s="42">
        <v>5510</v>
      </c>
      <c r="D28" s="43" t="s">
        <v>10</v>
      </c>
      <c r="E28" s="42" t="s">
        <v>74</v>
      </c>
      <c r="F28" s="43" t="s">
        <v>18</v>
      </c>
      <c r="G28" s="45" t="s">
        <v>19</v>
      </c>
      <c r="H28" s="57" t="s">
        <v>286</v>
      </c>
      <c r="I28" s="57" t="s">
        <v>309</v>
      </c>
      <c r="J28" s="45" t="s">
        <v>366</v>
      </c>
      <c r="K28" s="45" t="s">
        <v>311</v>
      </c>
      <c r="L28" s="45" t="s">
        <v>311</v>
      </c>
      <c r="M28" s="45" t="s">
        <v>311</v>
      </c>
      <c r="N28" s="45" t="s">
        <v>311</v>
      </c>
      <c r="O28" s="45"/>
      <c r="P28" s="58"/>
      <c r="Q28" s="57" t="s">
        <v>290</v>
      </c>
      <c r="R28" s="63"/>
      <c r="S28" s="63"/>
      <c r="T28" s="63"/>
      <c r="U28" s="63" t="s">
        <v>283</v>
      </c>
      <c r="V28" t="s">
        <v>284</v>
      </c>
      <c r="W28" s="63"/>
      <c r="Z28" s="2" t="s">
        <v>295</v>
      </c>
    </row>
    <row r="29" spans="2:31" ht="15.75" x14ac:dyDescent="0.25">
      <c r="B29" s="56" t="s">
        <v>75</v>
      </c>
      <c r="C29" s="42">
        <v>5518</v>
      </c>
      <c r="D29" s="43" t="s">
        <v>10</v>
      </c>
      <c r="E29" s="42" t="s">
        <v>76</v>
      </c>
      <c r="F29" s="43" t="s">
        <v>18</v>
      </c>
      <c r="G29" s="45" t="s">
        <v>19</v>
      </c>
      <c r="H29" s="57" t="s">
        <v>286</v>
      </c>
      <c r="I29" s="57" t="s">
        <v>309</v>
      </c>
      <c r="J29" s="45" t="s">
        <v>323</v>
      </c>
      <c r="K29" s="45" t="s">
        <v>311</v>
      </c>
      <c r="L29" s="45" t="s">
        <v>311</v>
      </c>
      <c r="M29" s="45" t="s">
        <v>311</v>
      </c>
      <c r="N29" s="45" t="s">
        <v>311</v>
      </c>
      <c r="O29" s="45"/>
      <c r="P29" s="58"/>
      <c r="Q29" s="57" t="s">
        <v>290</v>
      </c>
      <c r="R29" s="63"/>
      <c r="S29" s="63"/>
      <c r="T29" s="63"/>
      <c r="U29" s="63" t="s">
        <v>283</v>
      </c>
      <c r="V29" t="s">
        <v>284</v>
      </c>
      <c r="W29" s="63"/>
      <c r="Z29" s="2" t="s">
        <v>295</v>
      </c>
    </row>
    <row r="30" spans="2:31" ht="15.75" x14ac:dyDescent="0.25">
      <c r="B30" s="56" t="s">
        <v>77</v>
      </c>
      <c r="C30" s="42">
        <v>3080</v>
      </c>
      <c r="D30" s="43" t="s">
        <v>10</v>
      </c>
      <c r="E30" s="42" t="s">
        <v>78</v>
      </c>
      <c r="F30" s="43" t="s">
        <v>79</v>
      </c>
      <c r="G30" s="45" t="s">
        <v>12</v>
      </c>
      <c r="H30" s="57"/>
      <c r="I30" s="57" t="s">
        <v>309</v>
      </c>
      <c r="J30" s="45" t="s">
        <v>367</v>
      </c>
      <c r="K30" s="45" t="s">
        <v>311</v>
      </c>
      <c r="L30" s="45" t="s">
        <v>311</v>
      </c>
      <c r="M30" s="45" t="s">
        <v>311</v>
      </c>
      <c r="N30" s="45" t="s">
        <v>311</v>
      </c>
      <c r="O30" s="45"/>
      <c r="P30" s="58"/>
      <c r="Q30" s="59"/>
      <c r="R30" s="23"/>
      <c r="S30" s="23"/>
      <c r="T30" s="23"/>
      <c r="U30" s="63" t="s">
        <v>283</v>
      </c>
      <c r="V30" t="s">
        <v>284</v>
      </c>
      <c r="W30" s="23"/>
      <c r="X30"/>
      <c r="Y30"/>
    </row>
    <row r="31" spans="2:31" ht="45" x14ac:dyDescent="0.25">
      <c r="B31" s="60" t="s">
        <v>80</v>
      </c>
      <c r="C31" s="42">
        <v>4217</v>
      </c>
      <c r="D31" s="43" t="s">
        <v>10</v>
      </c>
      <c r="E31" s="42" t="s">
        <v>81</v>
      </c>
      <c r="F31" s="43" t="s">
        <v>50</v>
      </c>
      <c r="G31" s="44" t="s">
        <v>36</v>
      </c>
      <c r="H31" s="43" t="s">
        <v>346</v>
      </c>
      <c r="I31" s="43" t="s">
        <v>281</v>
      </c>
      <c r="J31" s="61">
        <v>46277</v>
      </c>
      <c r="K31" s="44"/>
      <c r="L31" s="44">
        <v>46036</v>
      </c>
      <c r="M31" s="43"/>
      <c r="N31" s="44">
        <v>46045</v>
      </c>
      <c r="O31" s="44"/>
      <c r="P31" s="62" t="s">
        <v>368</v>
      </c>
      <c r="Q31" s="43" t="s">
        <v>290</v>
      </c>
      <c r="R31" s="43"/>
      <c r="S31" s="43"/>
      <c r="T31" s="43"/>
      <c r="U31" s="69" t="s">
        <v>369</v>
      </c>
      <c r="V31" s="43"/>
      <c r="W31" s="43" t="s">
        <v>356</v>
      </c>
      <c r="X31" s="43"/>
      <c r="Y31" s="43" t="s">
        <v>294</v>
      </c>
      <c r="Z31" s="70" t="s">
        <v>295</v>
      </c>
      <c r="AA31" s="71" t="s">
        <v>370</v>
      </c>
      <c r="AB31" s="47"/>
      <c r="AC31" s="54" t="s">
        <v>371</v>
      </c>
    </row>
    <row r="32" spans="2:31" ht="15.75" x14ac:dyDescent="0.25">
      <c r="B32" s="56" t="s">
        <v>82</v>
      </c>
      <c r="C32" s="42">
        <v>184</v>
      </c>
      <c r="D32" s="43" t="s">
        <v>10</v>
      </c>
      <c r="E32" s="42" t="s">
        <v>83</v>
      </c>
      <c r="F32" s="43" t="s">
        <v>79</v>
      </c>
      <c r="G32" s="45" t="s">
        <v>12</v>
      </c>
      <c r="H32" s="57"/>
      <c r="I32" s="57" t="s">
        <v>309</v>
      </c>
      <c r="J32" s="45" t="s">
        <v>372</v>
      </c>
      <c r="K32" s="45" t="s">
        <v>311</v>
      </c>
      <c r="L32" s="45" t="s">
        <v>311</v>
      </c>
      <c r="M32" s="45" t="s">
        <v>311</v>
      </c>
      <c r="N32" s="45" t="s">
        <v>311</v>
      </c>
      <c r="O32" s="45"/>
      <c r="P32" s="58" t="s">
        <v>373</v>
      </c>
      <c r="Q32" s="57" t="s">
        <v>290</v>
      </c>
      <c r="R32" s="63"/>
      <c r="S32" s="63"/>
      <c r="T32" s="63"/>
      <c r="U32" s="63" t="s">
        <v>283</v>
      </c>
      <c r="V32" s="63" t="s">
        <v>284</v>
      </c>
      <c r="W32" s="63"/>
    </row>
    <row r="33" spans="2:54" ht="15.75" x14ac:dyDescent="0.25">
      <c r="B33" s="56" t="s">
        <v>84</v>
      </c>
      <c r="C33" s="42">
        <v>1417</v>
      </c>
      <c r="D33" s="43" t="s">
        <v>10</v>
      </c>
      <c r="E33" s="42" t="s">
        <v>85</v>
      </c>
      <c r="F33" s="43" t="s">
        <v>15</v>
      </c>
      <c r="G33" s="45" t="s">
        <v>12</v>
      </c>
      <c r="H33" s="57"/>
      <c r="I33" s="57" t="s">
        <v>309</v>
      </c>
      <c r="J33" s="45" t="s">
        <v>374</v>
      </c>
      <c r="K33" s="45" t="s">
        <v>311</v>
      </c>
      <c r="L33" s="45" t="s">
        <v>311</v>
      </c>
      <c r="M33" s="45" t="s">
        <v>311</v>
      </c>
      <c r="N33" s="45" t="s">
        <v>311</v>
      </c>
      <c r="O33" s="45"/>
      <c r="P33" s="58"/>
      <c r="Q33" s="59"/>
      <c r="R33" s="23"/>
      <c r="S33" s="23"/>
      <c r="T33" s="23"/>
      <c r="U33" s="63" t="s">
        <v>283</v>
      </c>
      <c r="V33" s="63" t="s">
        <v>284</v>
      </c>
      <c r="W33" s="23"/>
      <c r="X33"/>
      <c r="Y33"/>
    </row>
    <row r="34" spans="2:54" ht="15.75" x14ac:dyDescent="0.25">
      <c r="B34" s="56" t="s">
        <v>86</v>
      </c>
      <c r="C34" s="42">
        <v>3215</v>
      </c>
      <c r="D34" s="43" t="s">
        <v>10</v>
      </c>
      <c r="E34" s="42" t="s">
        <v>87</v>
      </c>
      <c r="F34" s="43" t="s">
        <v>39</v>
      </c>
      <c r="G34" s="45" t="s">
        <v>12</v>
      </c>
      <c r="H34" s="57" t="s">
        <v>375</v>
      </c>
      <c r="I34" s="57" t="s">
        <v>309</v>
      </c>
      <c r="J34" s="45" t="s">
        <v>376</v>
      </c>
      <c r="K34" s="45" t="s">
        <v>311</v>
      </c>
      <c r="L34" s="45" t="s">
        <v>311</v>
      </c>
      <c r="M34" s="45" t="s">
        <v>311</v>
      </c>
      <c r="N34" s="45" t="s">
        <v>311</v>
      </c>
      <c r="O34" s="45"/>
      <c r="P34" s="58"/>
      <c r="Q34" s="57" t="s">
        <v>290</v>
      </c>
      <c r="R34" s="63"/>
      <c r="S34" s="63"/>
      <c r="T34" s="63"/>
      <c r="U34" s="63" t="s">
        <v>283</v>
      </c>
      <c r="V34" s="63" t="s">
        <v>284</v>
      </c>
      <c r="W34" s="63"/>
      <c r="AB34" t="s">
        <v>320</v>
      </c>
    </row>
    <row r="35" spans="2:54" ht="120" x14ac:dyDescent="0.25">
      <c r="B35" s="60" t="s">
        <v>88</v>
      </c>
      <c r="C35" s="42">
        <v>3790</v>
      </c>
      <c r="D35" s="43" t="s">
        <v>10</v>
      </c>
      <c r="E35" s="42" t="s">
        <v>89</v>
      </c>
      <c r="F35" s="43" t="s">
        <v>62</v>
      </c>
      <c r="G35" s="44" t="s">
        <v>36</v>
      </c>
      <c r="H35" s="43" t="s">
        <v>353</v>
      </c>
      <c r="I35" s="43" t="s">
        <v>281</v>
      </c>
      <c r="J35" s="44">
        <v>46010</v>
      </c>
      <c r="K35" s="44" t="s">
        <v>377</v>
      </c>
      <c r="L35" s="44">
        <v>46045</v>
      </c>
      <c r="M35" s="43"/>
      <c r="N35" s="44">
        <v>46052</v>
      </c>
      <c r="O35" s="44"/>
      <c r="P35" s="62" t="s">
        <v>378</v>
      </c>
      <c r="Q35" s="43" t="s">
        <v>290</v>
      </c>
      <c r="R35" s="43"/>
      <c r="S35" s="43"/>
      <c r="T35" s="43"/>
      <c r="U35" s="69" t="s">
        <v>379</v>
      </c>
      <c r="V35" s="43"/>
      <c r="W35" s="43" t="s">
        <v>356</v>
      </c>
      <c r="X35" s="43"/>
      <c r="Y35" s="43" t="s">
        <v>294</v>
      </c>
      <c r="Z35" s="72" t="s">
        <v>294</v>
      </c>
      <c r="AA35" s="71"/>
      <c r="AB35" s="73" t="s">
        <v>380</v>
      </c>
      <c r="AC35" s="54" t="s">
        <v>358</v>
      </c>
    </row>
    <row r="36" spans="2:54" ht="15.75" x14ac:dyDescent="0.25">
      <c r="B36" s="56" t="s">
        <v>90</v>
      </c>
      <c r="C36" s="42">
        <v>3942</v>
      </c>
      <c r="D36" s="43" t="s">
        <v>10</v>
      </c>
      <c r="E36" s="42" t="s">
        <v>91</v>
      </c>
      <c r="F36" s="43" t="s">
        <v>11</v>
      </c>
      <c r="G36" s="45" t="s">
        <v>12</v>
      </c>
      <c r="H36" s="57"/>
      <c r="I36" s="57" t="s">
        <v>309</v>
      </c>
      <c r="J36" s="45" t="s">
        <v>381</v>
      </c>
      <c r="K36" s="45" t="s">
        <v>311</v>
      </c>
      <c r="L36" s="45" t="s">
        <v>311</v>
      </c>
      <c r="M36" s="45" t="s">
        <v>311</v>
      </c>
      <c r="N36" s="45" t="s">
        <v>311</v>
      </c>
      <c r="O36" s="45"/>
      <c r="P36" s="58"/>
      <c r="Q36" s="59"/>
      <c r="R36" s="23"/>
      <c r="S36" s="23"/>
      <c r="T36" s="23"/>
      <c r="U36" s="23" t="s">
        <v>283</v>
      </c>
      <c r="V36" s="23" t="s">
        <v>284</v>
      </c>
      <c r="W36" s="23"/>
      <c r="X36"/>
      <c r="Y36"/>
    </row>
    <row r="37" spans="2:54" ht="15.75" x14ac:dyDescent="0.25">
      <c r="B37" s="56" t="s">
        <v>92</v>
      </c>
      <c r="C37" s="42">
        <v>253</v>
      </c>
      <c r="D37" s="43" t="s">
        <v>22</v>
      </c>
      <c r="E37" s="42" t="s">
        <v>93</v>
      </c>
      <c r="F37" s="43" t="s">
        <v>32</v>
      </c>
      <c r="G37" s="45" t="s">
        <v>19</v>
      </c>
      <c r="H37" s="57"/>
      <c r="I37" s="57" t="s">
        <v>309</v>
      </c>
      <c r="J37" s="45" t="s">
        <v>382</v>
      </c>
      <c r="K37" s="45" t="s">
        <v>311</v>
      </c>
      <c r="L37" s="45" t="s">
        <v>311</v>
      </c>
      <c r="M37" s="45" t="s">
        <v>311</v>
      </c>
      <c r="N37" s="45" t="s">
        <v>311</v>
      </c>
      <c r="O37" s="45"/>
      <c r="P37" s="58"/>
      <c r="Q37" s="59"/>
      <c r="R37" s="23"/>
      <c r="S37" s="23"/>
      <c r="T37" s="23"/>
      <c r="U37" s="23" t="s">
        <v>283</v>
      </c>
      <c r="V37" s="23" t="s">
        <v>284</v>
      </c>
      <c r="W37" s="23"/>
      <c r="X37"/>
      <c r="Y37"/>
    </row>
    <row r="38" spans="2:54" ht="15.75" x14ac:dyDescent="0.25">
      <c r="B38" s="56" t="s">
        <v>94</v>
      </c>
      <c r="C38" s="42">
        <v>8869</v>
      </c>
      <c r="D38" s="43" t="s">
        <v>10</v>
      </c>
      <c r="E38" s="42" t="s">
        <v>95</v>
      </c>
      <c r="F38" s="43" t="s">
        <v>18</v>
      </c>
      <c r="G38" s="45" t="s">
        <v>19</v>
      </c>
      <c r="H38" s="57" t="s">
        <v>286</v>
      </c>
      <c r="I38" s="57" t="s">
        <v>309</v>
      </c>
      <c r="J38" s="45" t="s">
        <v>323</v>
      </c>
      <c r="K38" s="45" t="s">
        <v>311</v>
      </c>
      <c r="L38" s="45" t="s">
        <v>311</v>
      </c>
      <c r="M38" s="45" t="s">
        <v>311</v>
      </c>
      <c r="N38" s="45" t="s">
        <v>311</v>
      </c>
      <c r="O38" s="45"/>
      <c r="P38" s="58"/>
      <c r="Q38" s="57" t="s">
        <v>290</v>
      </c>
      <c r="R38" s="63"/>
      <c r="S38" s="63"/>
      <c r="T38" s="63"/>
      <c r="U38" s="23" t="s">
        <v>283</v>
      </c>
      <c r="V38" s="23" t="s">
        <v>284</v>
      </c>
      <c r="W38" s="63"/>
      <c r="Z38" s="2" t="s">
        <v>295</v>
      </c>
    </row>
    <row r="39" spans="2:54" ht="15.75" x14ac:dyDescent="0.25">
      <c r="B39" s="56" t="s">
        <v>96</v>
      </c>
      <c r="C39" s="42">
        <v>5076</v>
      </c>
      <c r="D39" s="43" t="s">
        <v>22</v>
      </c>
      <c r="E39" s="42" t="s">
        <v>97</v>
      </c>
      <c r="F39" s="43" t="s">
        <v>35</v>
      </c>
      <c r="G39" s="45" t="s">
        <v>36</v>
      </c>
      <c r="H39" s="57"/>
      <c r="I39" s="57" t="s">
        <v>309</v>
      </c>
      <c r="J39" s="45" t="s">
        <v>359</v>
      </c>
      <c r="K39" s="45" t="s">
        <v>311</v>
      </c>
      <c r="L39" s="45" t="s">
        <v>311</v>
      </c>
      <c r="M39" s="45" t="s">
        <v>311</v>
      </c>
      <c r="N39" s="45" t="s">
        <v>311</v>
      </c>
      <c r="O39" s="45"/>
      <c r="P39" s="58"/>
      <c r="Q39" s="59"/>
      <c r="R39" s="23"/>
      <c r="S39" s="23"/>
      <c r="T39" s="23"/>
      <c r="U39" s="23" t="s">
        <v>283</v>
      </c>
      <c r="V39" s="23" t="s">
        <v>284</v>
      </c>
      <c r="W39" s="23"/>
      <c r="X39"/>
      <c r="Y39"/>
    </row>
    <row r="40" spans="2:54" ht="15.75" x14ac:dyDescent="0.25">
      <c r="B40" s="56" t="s">
        <v>98</v>
      </c>
      <c r="C40" s="42">
        <v>1076</v>
      </c>
      <c r="D40" s="43" t="s">
        <v>22</v>
      </c>
      <c r="E40" s="42" t="s">
        <v>99</v>
      </c>
      <c r="F40" s="43" t="s">
        <v>28</v>
      </c>
      <c r="G40" s="45" t="s">
        <v>29</v>
      </c>
      <c r="H40" s="57"/>
      <c r="I40" s="57" t="s">
        <v>309</v>
      </c>
      <c r="J40" s="45" t="s">
        <v>310</v>
      </c>
      <c r="K40" s="45" t="s">
        <v>311</v>
      </c>
      <c r="L40" s="45" t="s">
        <v>311</v>
      </c>
      <c r="M40" s="45" t="s">
        <v>311</v>
      </c>
      <c r="N40" s="45" t="s">
        <v>311</v>
      </c>
      <c r="O40" s="45"/>
      <c r="P40" s="58"/>
      <c r="Q40" s="59"/>
      <c r="R40" s="23"/>
      <c r="S40" s="23"/>
      <c r="T40" s="23"/>
      <c r="U40" s="23" t="s">
        <v>283</v>
      </c>
      <c r="V40" s="23" t="s">
        <v>284</v>
      </c>
      <c r="W40" s="23"/>
      <c r="X40"/>
      <c r="Y40"/>
    </row>
    <row r="41" spans="2:54" ht="15.75" x14ac:dyDescent="0.25">
      <c r="B41" s="56" t="s">
        <v>100</v>
      </c>
      <c r="C41" s="42">
        <v>4804</v>
      </c>
      <c r="D41" s="43" t="s">
        <v>22</v>
      </c>
      <c r="E41" s="42" t="s">
        <v>101</v>
      </c>
      <c r="F41" s="43" t="s">
        <v>35</v>
      </c>
      <c r="G41" s="45" t="s">
        <v>36</v>
      </c>
      <c r="H41" s="57"/>
      <c r="I41" s="57" t="s">
        <v>309</v>
      </c>
      <c r="J41" s="45" t="s">
        <v>359</v>
      </c>
      <c r="K41" s="45" t="s">
        <v>311</v>
      </c>
      <c r="L41" s="45" t="s">
        <v>311</v>
      </c>
      <c r="M41" s="45" t="s">
        <v>311</v>
      </c>
      <c r="N41" s="45" t="s">
        <v>311</v>
      </c>
      <c r="O41" s="45"/>
      <c r="P41" s="58"/>
      <c r="Q41" s="59"/>
      <c r="R41" s="23"/>
      <c r="S41" s="23"/>
      <c r="T41" s="23"/>
      <c r="U41" s="23" t="s">
        <v>283</v>
      </c>
      <c r="V41" s="23" t="s">
        <v>284</v>
      </c>
      <c r="W41" s="23"/>
      <c r="X41"/>
      <c r="Y41"/>
      <c r="AX41" s="11"/>
      <c r="AY41" s="11"/>
      <c r="AZ41" s="11"/>
      <c r="BA41" s="11"/>
      <c r="BB41" s="11"/>
    </row>
    <row r="42" spans="2:54" ht="15.75" x14ac:dyDescent="0.25">
      <c r="B42" s="56" t="s">
        <v>102</v>
      </c>
      <c r="C42" s="42">
        <v>1098</v>
      </c>
      <c r="D42" s="43" t="s">
        <v>10</v>
      </c>
      <c r="E42" s="42" t="s">
        <v>103</v>
      </c>
      <c r="F42" s="43" t="s">
        <v>79</v>
      </c>
      <c r="G42" s="45" t="s">
        <v>12</v>
      </c>
      <c r="H42" s="57"/>
      <c r="I42" s="57" t="s">
        <v>309</v>
      </c>
      <c r="J42" s="45" t="s">
        <v>323</v>
      </c>
      <c r="K42" s="45" t="s">
        <v>311</v>
      </c>
      <c r="L42" s="45" t="s">
        <v>311</v>
      </c>
      <c r="M42" s="45" t="s">
        <v>311</v>
      </c>
      <c r="N42" s="45" t="s">
        <v>311</v>
      </c>
      <c r="O42" s="45"/>
      <c r="P42" s="58"/>
      <c r="Q42" s="57" t="s">
        <v>290</v>
      </c>
      <c r="R42" s="63"/>
      <c r="S42" s="63"/>
      <c r="T42" s="63"/>
      <c r="U42" s="23" t="s">
        <v>283</v>
      </c>
      <c r="V42" s="23" t="s">
        <v>284</v>
      </c>
      <c r="W42" s="63"/>
    </row>
    <row r="43" spans="2:54" ht="15.75" x14ac:dyDescent="0.25">
      <c r="B43" s="56" t="s">
        <v>104</v>
      </c>
      <c r="C43" s="42">
        <v>8904</v>
      </c>
      <c r="D43" s="43" t="s">
        <v>22</v>
      </c>
      <c r="E43" s="42" t="s">
        <v>105</v>
      </c>
      <c r="F43" s="43" t="s">
        <v>28</v>
      </c>
      <c r="G43" s="45" t="s">
        <v>29</v>
      </c>
      <c r="H43" s="57" t="s">
        <v>383</v>
      </c>
      <c r="I43" s="57" t="s">
        <v>309</v>
      </c>
      <c r="J43" s="45" t="s">
        <v>376</v>
      </c>
      <c r="K43" s="45" t="s">
        <v>311</v>
      </c>
      <c r="L43" s="45" t="s">
        <v>311</v>
      </c>
      <c r="M43" s="45" t="s">
        <v>311</v>
      </c>
      <c r="N43" s="45" t="s">
        <v>311</v>
      </c>
      <c r="O43" s="45"/>
      <c r="P43" s="58"/>
      <c r="Q43" s="57" t="s">
        <v>290</v>
      </c>
      <c r="R43" s="63"/>
      <c r="S43" s="63"/>
      <c r="T43" s="63"/>
      <c r="U43" s="23" t="s">
        <v>283</v>
      </c>
      <c r="V43" s="23" t="s">
        <v>284</v>
      </c>
      <c r="W43" s="63"/>
      <c r="Z43" s="2" t="s">
        <v>294</v>
      </c>
    </row>
    <row r="44" spans="2:54" ht="15.75" x14ac:dyDescent="0.25">
      <c r="B44" s="56" t="s">
        <v>106</v>
      </c>
      <c r="C44" s="42">
        <v>4697</v>
      </c>
      <c r="D44" s="43" t="s">
        <v>22</v>
      </c>
      <c r="E44" s="42" t="s">
        <v>107</v>
      </c>
      <c r="F44" s="43" t="s">
        <v>28</v>
      </c>
      <c r="G44" s="45" t="s">
        <v>29</v>
      </c>
      <c r="H44" s="57" t="s">
        <v>383</v>
      </c>
      <c r="I44" s="57" t="s">
        <v>309</v>
      </c>
      <c r="J44" s="45" t="s">
        <v>384</v>
      </c>
      <c r="K44" s="45" t="s">
        <v>311</v>
      </c>
      <c r="L44" s="45" t="s">
        <v>311</v>
      </c>
      <c r="M44" s="45" t="s">
        <v>311</v>
      </c>
      <c r="N44" s="45" t="s">
        <v>311</v>
      </c>
      <c r="O44" s="45"/>
      <c r="P44" s="58"/>
      <c r="Q44" s="57" t="s">
        <v>290</v>
      </c>
      <c r="R44" s="63"/>
      <c r="S44" s="63"/>
      <c r="T44" s="63"/>
      <c r="U44" s="23" t="s">
        <v>283</v>
      </c>
      <c r="V44" s="23" t="s">
        <v>284</v>
      </c>
      <c r="W44" s="63"/>
    </row>
    <row r="45" spans="2:54" ht="15.75" x14ac:dyDescent="0.25">
      <c r="B45" s="56" t="s">
        <v>108</v>
      </c>
      <c r="C45" s="42">
        <v>1147</v>
      </c>
      <c r="D45" s="43" t="s">
        <v>22</v>
      </c>
      <c r="E45" s="42" t="s">
        <v>109</v>
      </c>
      <c r="F45" s="43" t="s">
        <v>28</v>
      </c>
      <c r="G45" s="45" t="s">
        <v>29</v>
      </c>
      <c r="H45" s="57"/>
      <c r="I45" s="57" t="s">
        <v>309</v>
      </c>
      <c r="J45" s="45" t="s">
        <v>385</v>
      </c>
      <c r="K45" s="45" t="s">
        <v>311</v>
      </c>
      <c r="L45" s="45" t="s">
        <v>311</v>
      </c>
      <c r="M45" s="45" t="s">
        <v>311</v>
      </c>
      <c r="N45" s="45" t="s">
        <v>311</v>
      </c>
      <c r="O45" s="45"/>
      <c r="P45" s="58"/>
      <c r="Q45" s="59"/>
      <c r="R45" s="23"/>
      <c r="S45" s="23"/>
      <c r="T45" s="23"/>
      <c r="U45" s="23" t="s">
        <v>283</v>
      </c>
      <c r="V45" s="23" t="s">
        <v>284</v>
      </c>
      <c r="W45" s="23"/>
      <c r="X45"/>
      <c r="Y45"/>
    </row>
    <row r="46" spans="2:54" ht="15.75" x14ac:dyDescent="0.25">
      <c r="B46" s="56" t="s">
        <v>110</v>
      </c>
      <c r="C46" s="42">
        <v>2776</v>
      </c>
      <c r="D46" s="43" t="s">
        <v>10</v>
      </c>
      <c r="E46" s="42" t="s">
        <v>111</v>
      </c>
      <c r="F46" s="43" t="s">
        <v>15</v>
      </c>
      <c r="G46" s="45" t="s">
        <v>12</v>
      </c>
      <c r="H46" s="57"/>
      <c r="I46" s="57" t="s">
        <v>309</v>
      </c>
      <c r="J46" s="45" t="s">
        <v>386</v>
      </c>
      <c r="K46" s="45" t="s">
        <v>311</v>
      </c>
      <c r="L46" s="45" t="s">
        <v>311</v>
      </c>
      <c r="M46" s="45" t="s">
        <v>311</v>
      </c>
      <c r="N46" s="45" t="s">
        <v>311</v>
      </c>
      <c r="O46" s="45"/>
      <c r="P46" s="58"/>
      <c r="Q46" s="59"/>
      <c r="R46" s="23"/>
      <c r="S46" s="23"/>
      <c r="T46" s="23"/>
      <c r="U46" s="23" t="s">
        <v>283</v>
      </c>
      <c r="V46" s="23" t="s">
        <v>284</v>
      </c>
      <c r="W46" s="23"/>
      <c r="X46"/>
      <c r="Y46"/>
    </row>
    <row r="47" spans="2:54" ht="15.75" x14ac:dyDescent="0.25">
      <c r="B47" s="56" t="s">
        <v>112</v>
      </c>
      <c r="C47" s="42">
        <v>1578</v>
      </c>
      <c r="D47" s="43" t="s">
        <v>22</v>
      </c>
      <c r="E47" s="42" t="s">
        <v>113</v>
      </c>
      <c r="F47" s="43" t="s">
        <v>32</v>
      </c>
      <c r="G47" s="45" t="s">
        <v>19</v>
      </c>
      <c r="H47" s="57"/>
      <c r="I47" s="57" t="s">
        <v>309</v>
      </c>
      <c r="J47" s="45" t="s">
        <v>387</v>
      </c>
      <c r="K47" s="45" t="s">
        <v>311</v>
      </c>
      <c r="L47" s="45" t="s">
        <v>311</v>
      </c>
      <c r="M47" s="45" t="s">
        <v>311</v>
      </c>
      <c r="N47" s="45" t="s">
        <v>311</v>
      </c>
      <c r="O47" s="45"/>
      <c r="P47" s="58"/>
      <c r="Q47" s="59"/>
      <c r="R47" s="23"/>
      <c r="S47" s="23"/>
      <c r="T47" s="23"/>
      <c r="U47" s="23" t="s">
        <v>283</v>
      </c>
      <c r="V47" s="23" t="s">
        <v>284</v>
      </c>
      <c r="W47" s="23"/>
      <c r="X47"/>
      <c r="Y47"/>
    </row>
    <row r="48" spans="2:54" ht="15.75" x14ac:dyDescent="0.25">
      <c r="B48" s="56" t="s">
        <v>114</v>
      </c>
      <c r="C48" s="42">
        <v>7947</v>
      </c>
      <c r="D48" s="43" t="s">
        <v>22</v>
      </c>
      <c r="E48" s="42" t="s">
        <v>115</v>
      </c>
      <c r="F48" s="43" t="s">
        <v>32</v>
      </c>
      <c r="G48" s="45" t="s">
        <v>19</v>
      </c>
      <c r="H48" s="57"/>
      <c r="I48" s="57" t="s">
        <v>309</v>
      </c>
      <c r="J48" s="45" t="s">
        <v>388</v>
      </c>
      <c r="K48" s="45" t="s">
        <v>311</v>
      </c>
      <c r="L48" s="45" t="s">
        <v>311</v>
      </c>
      <c r="M48" s="45" t="s">
        <v>311</v>
      </c>
      <c r="N48" s="45" t="s">
        <v>311</v>
      </c>
      <c r="O48" s="45"/>
      <c r="P48" s="58"/>
      <c r="Q48" s="59"/>
      <c r="R48" s="23"/>
      <c r="S48" s="23"/>
      <c r="T48" s="23"/>
      <c r="U48" s="23" t="s">
        <v>283</v>
      </c>
      <c r="V48" s="23" t="s">
        <v>284</v>
      </c>
      <c r="W48" s="23"/>
      <c r="X48"/>
      <c r="Y48"/>
    </row>
    <row r="49" spans="1:30" ht="225" x14ac:dyDescent="0.25">
      <c r="B49" s="64" t="s">
        <v>116</v>
      </c>
      <c r="C49" s="42">
        <v>5135</v>
      </c>
      <c r="D49" s="43" t="s">
        <v>10</v>
      </c>
      <c r="E49" s="42" t="s">
        <v>117</v>
      </c>
      <c r="F49" s="43" t="s">
        <v>44</v>
      </c>
      <c r="G49" s="44" t="s">
        <v>45</v>
      </c>
      <c r="H49" s="43" t="s">
        <v>324</v>
      </c>
      <c r="I49" s="43" t="s">
        <v>281</v>
      </c>
      <c r="J49" s="61"/>
      <c r="K49" s="44" t="s">
        <v>290</v>
      </c>
      <c r="L49" s="43"/>
      <c r="M49" s="43"/>
      <c r="N49" s="44">
        <v>46175</v>
      </c>
      <c r="O49" s="44"/>
      <c r="P49" s="62" t="s">
        <v>389</v>
      </c>
      <c r="Q49" s="43" t="s">
        <v>290</v>
      </c>
      <c r="T49" s="1" t="s">
        <v>326</v>
      </c>
      <c r="U49" s="51" t="s">
        <v>390</v>
      </c>
      <c r="W49" s="1" t="s">
        <v>293</v>
      </c>
      <c r="X49" s="1" t="s">
        <v>294</v>
      </c>
      <c r="Y49" s="1" t="s">
        <v>294</v>
      </c>
      <c r="Z49" s="2" t="s">
        <v>294</v>
      </c>
      <c r="AC49" t="s">
        <v>391</v>
      </c>
    </row>
    <row r="50" spans="1:30" ht="15.75" x14ac:dyDescent="0.25">
      <c r="B50" s="67" t="s">
        <v>118</v>
      </c>
      <c r="C50" s="68">
        <v>8716</v>
      </c>
      <c r="D50" s="57" t="s">
        <v>10</v>
      </c>
      <c r="E50" s="68" t="s">
        <v>119</v>
      </c>
      <c r="F50" s="57" t="s">
        <v>15</v>
      </c>
      <c r="G50" s="45" t="s">
        <v>12</v>
      </c>
      <c r="H50" s="57"/>
      <c r="I50" s="57" t="s">
        <v>281</v>
      </c>
      <c r="J50" s="45" t="s">
        <v>392</v>
      </c>
      <c r="K50" s="45"/>
      <c r="L50" s="57"/>
      <c r="M50" s="57"/>
      <c r="N50" s="57"/>
      <c r="O50" s="45"/>
      <c r="P50" s="58" t="s">
        <v>393</v>
      </c>
      <c r="Q50" s="59"/>
      <c r="R50" s="23"/>
      <c r="S50" s="23"/>
      <c r="T50" s="23"/>
      <c r="U50" s="23" t="s">
        <v>283</v>
      </c>
      <c r="V50" t="s">
        <v>284</v>
      </c>
      <c r="W50"/>
      <c r="X50"/>
      <c r="Y50"/>
    </row>
    <row r="51" spans="1:30" ht="105" x14ac:dyDescent="0.25">
      <c r="B51" s="49" t="s">
        <v>120</v>
      </c>
      <c r="C51" s="42">
        <v>5256</v>
      </c>
      <c r="D51" s="43" t="s">
        <v>22</v>
      </c>
      <c r="E51" s="42" t="s">
        <v>121</v>
      </c>
      <c r="F51" s="43" t="s">
        <v>23</v>
      </c>
      <c r="G51" s="44" t="s">
        <v>19</v>
      </c>
      <c r="H51" s="43" t="s">
        <v>298</v>
      </c>
      <c r="I51" s="43" t="s">
        <v>281</v>
      </c>
      <c r="J51" s="44">
        <v>46052</v>
      </c>
      <c r="K51" s="44" t="s">
        <v>394</v>
      </c>
      <c r="L51" s="44"/>
      <c r="M51" s="43"/>
      <c r="N51" s="43"/>
      <c r="O51" s="44"/>
      <c r="P51" s="50" t="s">
        <v>395</v>
      </c>
      <c r="Q51" s="43" t="s">
        <v>290</v>
      </c>
      <c r="U51" s="51" t="s">
        <v>396</v>
      </c>
      <c r="V51" s="51" t="s">
        <v>292</v>
      </c>
      <c r="W51" s="1" t="s">
        <v>356</v>
      </c>
      <c r="X51" s="1" t="s">
        <v>294</v>
      </c>
      <c r="Y51" s="1" t="s">
        <v>294</v>
      </c>
      <c r="Z51" s="2" t="s">
        <v>295</v>
      </c>
      <c r="AA51" s="53" t="s">
        <v>397</v>
      </c>
      <c r="AB51" s="1" t="s">
        <v>398</v>
      </c>
      <c r="AC51" s="54" t="s">
        <v>399</v>
      </c>
    </row>
    <row r="52" spans="1:30" ht="15.75" x14ac:dyDescent="0.25">
      <c r="B52" s="49" t="s">
        <v>122</v>
      </c>
      <c r="C52" s="42">
        <v>8910</v>
      </c>
      <c r="D52" s="43" t="s">
        <v>22</v>
      </c>
      <c r="E52" s="42" t="s">
        <v>123</v>
      </c>
      <c r="F52" s="43" t="s">
        <v>23</v>
      </c>
      <c r="G52" s="44" t="s">
        <v>19</v>
      </c>
      <c r="H52" s="43"/>
      <c r="I52" s="43" t="s">
        <v>281</v>
      </c>
      <c r="J52" s="45" t="s">
        <v>400</v>
      </c>
      <c r="K52" s="44"/>
      <c r="L52" s="43"/>
      <c r="M52" s="43"/>
      <c r="N52" s="43"/>
      <c r="O52" s="44"/>
      <c r="P52" s="46"/>
      <c r="Q52" s="47"/>
      <c r="R52"/>
      <c r="S52"/>
      <c r="T52"/>
      <c r="U52" s="23" t="s">
        <v>283</v>
      </c>
      <c r="V52" t="s">
        <v>284</v>
      </c>
      <c r="W52"/>
      <c r="X52"/>
      <c r="Y52"/>
    </row>
    <row r="53" spans="1:30" ht="285" x14ac:dyDescent="0.25">
      <c r="B53" s="64" t="s">
        <v>124</v>
      </c>
      <c r="C53" s="42">
        <v>5257</v>
      </c>
      <c r="D53" s="43" t="s">
        <v>10</v>
      </c>
      <c r="E53" s="42" t="s">
        <v>125</v>
      </c>
      <c r="F53" s="43" t="s">
        <v>44</v>
      </c>
      <c r="G53" s="44" t="s">
        <v>45</v>
      </c>
      <c r="H53" s="43" t="s">
        <v>324</v>
      </c>
      <c r="I53" s="43" t="s">
        <v>281</v>
      </c>
      <c r="J53" s="61" t="s">
        <v>401</v>
      </c>
      <c r="K53" s="44" t="s">
        <v>299</v>
      </c>
      <c r="L53" s="69" t="s">
        <v>402</v>
      </c>
      <c r="M53" s="43"/>
      <c r="N53" s="44">
        <v>46175</v>
      </c>
      <c r="O53" s="44"/>
      <c r="P53" s="50" t="s">
        <v>403</v>
      </c>
      <c r="Q53" s="43" t="s">
        <v>290</v>
      </c>
      <c r="T53" s="1" t="s">
        <v>326</v>
      </c>
      <c r="U53" s="51" t="s">
        <v>404</v>
      </c>
      <c r="W53" s="1" t="s">
        <v>405</v>
      </c>
      <c r="X53" s="1" t="s">
        <v>406</v>
      </c>
      <c r="Y53" s="1" t="s">
        <v>294</v>
      </c>
      <c r="Z53" s="2" t="s">
        <v>294</v>
      </c>
      <c r="AA53" s="34" t="s">
        <v>407</v>
      </c>
      <c r="AB53" t="s">
        <v>350</v>
      </c>
      <c r="AC53" s="54" t="s">
        <v>408</v>
      </c>
    </row>
    <row r="54" spans="1:30" ht="165" x14ac:dyDescent="0.25">
      <c r="B54" s="49" t="s">
        <v>126</v>
      </c>
      <c r="C54" s="42">
        <v>3531</v>
      </c>
      <c r="D54" s="43" t="s">
        <v>10</v>
      </c>
      <c r="E54" s="42" t="s">
        <v>127</v>
      </c>
      <c r="F54" s="43" t="s">
        <v>44</v>
      </c>
      <c r="G54" s="44" t="s">
        <v>45</v>
      </c>
      <c r="H54" s="43" t="s">
        <v>324</v>
      </c>
      <c r="I54" s="43" t="s">
        <v>281</v>
      </c>
      <c r="J54" s="44">
        <v>46055</v>
      </c>
      <c r="K54" s="44" t="s">
        <v>299</v>
      </c>
      <c r="L54" s="43"/>
      <c r="M54" s="43"/>
      <c r="N54" s="44">
        <v>46175</v>
      </c>
      <c r="O54" s="44"/>
      <c r="P54" s="50" t="s">
        <v>409</v>
      </c>
      <c r="Q54" s="43" t="s">
        <v>290</v>
      </c>
      <c r="T54" s="1" t="s">
        <v>326</v>
      </c>
      <c r="U54" s="51" t="s">
        <v>410</v>
      </c>
      <c r="W54" s="1" t="s">
        <v>293</v>
      </c>
      <c r="X54" s="1" t="s">
        <v>406</v>
      </c>
      <c r="Y54" s="1" t="s">
        <v>294</v>
      </c>
      <c r="Z54" s="2" t="s">
        <v>294</v>
      </c>
      <c r="AB54" t="s">
        <v>350</v>
      </c>
      <c r="AC54" t="s">
        <v>411</v>
      </c>
    </row>
    <row r="55" spans="1:30" ht="15.75" x14ac:dyDescent="0.25">
      <c r="B55" s="56" t="s">
        <v>128</v>
      </c>
      <c r="C55" s="42">
        <v>769</v>
      </c>
      <c r="D55" s="43" t="s">
        <v>22</v>
      </c>
      <c r="E55" s="42" t="s">
        <v>129</v>
      </c>
      <c r="F55" s="43" t="s">
        <v>35</v>
      </c>
      <c r="G55" s="45" t="s">
        <v>36</v>
      </c>
      <c r="H55" s="57"/>
      <c r="I55" s="57" t="s">
        <v>309</v>
      </c>
      <c r="J55" s="45" t="s">
        <v>412</v>
      </c>
      <c r="K55" s="45" t="s">
        <v>311</v>
      </c>
      <c r="L55" s="45" t="s">
        <v>311</v>
      </c>
      <c r="M55" s="45" t="s">
        <v>311</v>
      </c>
      <c r="N55" s="45" t="s">
        <v>311</v>
      </c>
      <c r="O55" s="45"/>
      <c r="P55" s="58"/>
      <c r="Q55" s="59"/>
      <c r="R55" s="23"/>
      <c r="S55" s="23"/>
      <c r="T55" s="23"/>
      <c r="U55" s="23" t="s">
        <v>283</v>
      </c>
      <c r="V55" s="23" t="s">
        <v>284</v>
      </c>
      <c r="W55" s="23"/>
      <c r="X55"/>
      <c r="Y55"/>
    </row>
    <row r="56" spans="1:30" ht="15.75" x14ac:dyDescent="0.25">
      <c r="B56" s="56" t="s">
        <v>130</v>
      </c>
      <c r="C56" s="42">
        <v>5393</v>
      </c>
      <c r="D56" s="43" t="s">
        <v>10</v>
      </c>
      <c r="E56" s="42" t="s">
        <v>131</v>
      </c>
      <c r="F56" s="43" t="s">
        <v>15</v>
      </c>
      <c r="G56" s="45" t="s">
        <v>12</v>
      </c>
      <c r="H56" s="57"/>
      <c r="I56" s="57" t="s">
        <v>309</v>
      </c>
      <c r="J56" s="45" t="s">
        <v>413</v>
      </c>
      <c r="K56" s="45" t="s">
        <v>311</v>
      </c>
      <c r="L56" s="45" t="s">
        <v>311</v>
      </c>
      <c r="M56" s="45" t="s">
        <v>311</v>
      </c>
      <c r="N56" s="45" t="s">
        <v>311</v>
      </c>
      <c r="O56" s="45"/>
      <c r="P56" s="58"/>
      <c r="Q56" s="59"/>
      <c r="R56" s="23"/>
      <c r="S56" s="23"/>
      <c r="T56" s="23"/>
      <c r="U56" s="23" t="s">
        <v>283</v>
      </c>
      <c r="V56" s="23" t="s">
        <v>284</v>
      </c>
      <c r="W56" s="23"/>
      <c r="X56"/>
      <c r="Y56"/>
    </row>
    <row r="57" spans="1:30" ht="15.75" x14ac:dyDescent="0.25">
      <c r="B57" s="56" t="s">
        <v>132</v>
      </c>
      <c r="C57" s="42">
        <v>1120</v>
      </c>
      <c r="D57" s="43" t="s">
        <v>10</v>
      </c>
      <c r="E57" s="42" t="s">
        <v>133</v>
      </c>
      <c r="F57" s="43" t="s">
        <v>39</v>
      </c>
      <c r="G57" s="45" t="s">
        <v>12</v>
      </c>
      <c r="H57" s="57"/>
      <c r="I57" s="57" t="s">
        <v>309</v>
      </c>
      <c r="J57" s="45" t="s">
        <v>376</v>
      </c>
      <c r="K57" s="45" t="s">
        <v>311</v>
      </c>
      <c r="L57" s="45" t="s">
        <v>311</v>
      </c>
      <c r="M57" s="45" t="s">
        <v>311</v>
      </c>
      <c r="N57" s="45" t="s">
        <v>311</v>
      </c>
      <c r="O57" s="45"/>
      <c r="P57" s="58"/>
      <c r="Q57" s="57" t="s">
        <v>290</v>
      </c>
      <c r="R57" s="63"/>
      <c r="S57" s="63"/>
      <c r="T57" s="63"/>
      <c r="U57" s="23" t="s">
        <v>283</v>
      </c>
      <c r="V57" s="23" t="s">
        <v>284</v>
      </c>
      <c r="W57" s="63"/>
      <c r="Z57" s="2" t="s">
        <v>295</v>
      </c>
    </row>
    <row r="58" spans="1:30" ht="15.75" x14ac:dyDescent="0.25">
      <c r="B58" s="56" t="s">
        <v>134</v>
      </c>
      <c r="C58" s="42">
        <v>1231</v>
      </c>
      <c r="D58" s="43" t="s">
        <v>10</v>
      </c>
      <c r="E58" s="42" t="s">
        <v>135</v>
      </c>
      <c r="F58" s="43" t="s">
        <v>39</v>
      </c>
      <c r="G58" s="45" t="s">
        <v>12</v>
      </c>
      <c r="H58" s="57"/>
      <c r="I58" s="57" t="s">
        <v>309</v>
      </c>
      <c r="J58" s="45" t="s">
        <v>376</v>
      </c>
      <c r="K58" s="45" t="s">
        <v>311</v>
      </c>
      <c r="L58" s="45" t="s">
        <v>311</v>
      </c>
      <c r="M58" s="45" t="s">
        <v>311</v>
      </c>
      <c r="N58" s="45" t="s">
        <v>311</v>
      </c>
      <c r="O58" s="45"/>
      <c r="P58" s="58"/>
      <c r="Q58" s="57" t="s">
        <v>290</v>
      </c>
      <c r="R58" s="63"/>
      <c r="S58" s="63"/>
      <c r="T58" s="63"/>
      <c r="U58" s="23" t="s">
        <v>283</v>
      </c>
      <c r="V58" s="23" t="s">
        <v>284</v>
      </c>
      <c r="W58" s="63"/>
      <c r="Z58" s="2" t="s">
        <v>295</v>
      </c>
    </row>
    <row r="59" spans="1:30" ht="135" x14ac:dyDescent="0.25">
      <c r="B59" s="49" t="s">
        <v>136</v>
      </c>
      <c r="C59" s="42">
        <v>5521</v>
      </c>
      <c r="D59" s="43" t="s">
        <v>10</v>
      </c>
      <c r="E59" s="42" t="s">
        <v>137</v>
      </c>
      <c r="F59" s="43" t="s">
        <v>18</v>
      </c>
      <c r="G59" s="44" t="s">
        <v>19</v>
      </c>
      <c r="H59" s="43" t="s">
        <v>286</v>
      </c>
      <c r="I59" s="43" t="s">
        <v>281</v>
      </c>
      <c r="J59" s="44" t="s">
        <v>414</v>
      </c>
      <c r="K59" s="44" t="s">
        <v>290</v>
      </c>
      <c r="L59" s="43"/>
      <c r="M59" s="43"/>
      <c r="N59" s="43"/>
      <c r="O59" s="44"/>
      <c r="P59" s="50" t="s">
        <v>415</v>
      </c>
      <c r="Q59" s="43" t="s">
        <v>290</v>
      </c>
      <c r="R59" s="43"/>
      <c r="S59" s="43"/>
      <c r="T59" s="43"/>
      <c r="U59" s="69" t="s">
        <v>416</v>
      </c>
      <c r="V59" s="69" t="s">
        <v>292</v>
      </c>
      <c r="W59" s="43"/>
      <c r="X59" s="43"/>
      <c r="Y59" s="43" t="s">
        <v>294</v>
      </c>
      <c r="Z59" s="70" t="s">
        <v>295</v>
      </c>
      <c r="AA59" s="71"/>
      <c r="AB59" s="47" t="s">
        <v>350</v>
      </c>
      <c r="AC59" s="52" t="s">
        <v>417</v>
      </c>
    </row>
    <row r="60" spans="1:30" ht="15.75" x14ac:dyDescent="0.25">
      <c r="B60" s="56" t="s">
        <v>138</v>
      </c>
      <c r="C60" s="42">
        <v>7108</v>
      </c>
      <c r="D60" s="43" t="s">
        <v>10</v>
      </c>
      <c r="E60" s="42" t="s">
        <v>139</v>
      </c>
      <c r="F60" s="43" t="s">
        <v>18</v>
      </c>
      <c r="G60" s="45" t="s">
        <v>19</v>
      </c>
      <c r="H60" s="57" t="s">
        <v>286</v>
      </c>
      <c r="I60" s="57" t="s">
        <v>309</v>
      </c>
      <c r="J60" s="45" t="s">
        <v>384</v>
      </c>
      <c r="K60" s="45" t="s">
        <v>311</v>
      </c>
      <c r="L60" s="45" t="s">
        <v>311</v>
      </c>
      <c r="M60" s="45" t="s">
        <v>311</v>
      </c>
      <c r="N60" s="45" t="s">
        <v>311</v>
      </c>
      <c r="O60" s="45"/>
      <c r="P60" s="58"/>
      <c r="Q60" s="57" t="s">
        <v>290</v>
      </c>
      <c r="R60" s="63"/>
      <c r="S60" s="63"/>
      <c r="T60" s="63"/>
      <c r="U60" s="63" t="s">
        <v>283</v>
      </c>
      <c r="V60" s="63" t="s">
        <v>284</v>
      </c>
      <c r="W60" s="63"/>
    </row>
    <row r="61" spans="1:30" ht="15.75" x14ac:dyDescent="0.25">
      <c r="B61" s="56" t="s">
        <v>140</v>
      </c>
      <c r="C61" s="42">
        <v>1604</v>
      </c>
      <c r="D61" s="43" t="s">
        <v>10</v>
      </c>
      <c r="E61" s="42" t="s">
        <v>141</v>
      </c>
      <c r="F61" s="43" t="s">
        <v>11</v>
      </c>
      <c r="G61" s="45" t="s">
        <v>12</v>
      </c>
      <c r="H61" s="57"/>
      <c r="I61" s="57" t="s">
        <v>309</v>
      </c>
      <c r="J61" s="45" t="s">
        <v>418</v>
      </c>
      <c r="K61" s="45" t="s">
        <v>311</v>
      </c>
      <c r="L61" s="45" t="s">
        <v>311</v>
      </c>
      <c r="M61" s="45" t="s">
        <v>311</v>
      </c>
      <c r="N61" s="45" t="s">
        <v>311</v>
      </c>
      <c r="O61" s="45"/>
      <c r="P61" s="58"/>
      <c r="Q61" s="59"/>
      <c r="R61" s="23"/>
      <c r="S61" s="23"/>
      <c r="T61" s="23"/>
      <c r="U61" s="63" t="s">
        <v>283</v>
      </c>
      <c r="V61" s="23" t="s">
        <v>284</v>
      </c>
      <c r="W61" s="23"/>
      <c r="X61"/>
      <c r="Y61"/>
    </row>
    <row r="62" spans="1:30" ht="15.75" x14ac:dyDescent="0.25">
      <c r="B62" s="56" t="s">
        <v>142</v>
      </c>
      <c r="C62" s="42">
        <v>2586</v>
      </c>
      <c r="D62" s="43" t="s">
        <v>10</v>
      </c>
      <c r="E62" s="42" t="s">
        <v>143</v>
      </c>
      <c r="F62" s="43" t="s">
        <v>11</v>
      </c>
      <c r="G62" s="45" t="s">
        <v>12</v>
      </c>
      <c r="H62" s="57"/>
      <c r="I62" s="57" t="s">
        <v>309</v>
      </c>
      <c r="J62" s="45" t="s">
        <v>419</v>
      </c>
      <c r="K62" s="45" t="s">
        <v>311</v>
      </c>
      <c r="L62" s="45" t="s">
        <v>311</v>
      </c>
      <c r="M62" s="45" t="s">
        <v>311</v>
      </c>
      <c r="N62" s="45" t="s">
        <v>311</v>
      </c>
      <c r="O62" s="45"/>
      <c r="P62" s="58"/>
      <c r="Q62" s="59"/>
      <c r="R62" s="23"/>
      <c r="S62" s="23"/>
      <c r="T62" s="23"/>
      <c r="U62" s="63" t="s">
        <v>283</v>
      </c>
      <c r="V62" s="23" t="s">
        <v>284</v>
      </c>
      <c r="W62" s="23"/>
      <c r="X62"/>
      <c r="Y62"/>
    </row>
    <row r="63" spans="1:30" ht="210" x14ac:dyDescent="0.25">
      <c r="A63" s="26"/>
      <c r="B63" s="74" t="s">
        <v>144</v>
      </c>
      <c r="C63" s="68">
        <v>4669</v>
      </c>
      <c r="D63" s="57" t="s">
        <v>10</v>
      </c>
      <c r="E63" s="68" t="s">
        <v>145</v>
      </c>
      <c r="F63" s="57" t="s">
        <v>11</v>
      </c>
      <c r="G63" s="45" t="s">
        <v>12</v>
      </c>
      <c r="H63" s="57" t="s">
        <v>420</v>
      </c>
      <c r="I63" s="57" t="s">
        <v>309</v>
      </c>
      <c r="J63" s="45" t="s">
        <v>421</v>
      </c>
      <c r="K63" s="45" t="s">
        <v>316</v>
      </c>
      <c r="L63" s="57" t="s">
        <v>311</v>
      </c>
      <c r="M63" s="57" t="s">
        <v>311</v>
      </c>
      <c r="N63" s="75" t="s">
        <v>299</v>
      </c>
      <c r="O63" s="45" t="s">
        <v>422</v>
      </c>
      <c r="P63" s="76" t="s">
        <v>423</v>
      </c>
      <c r="Q63" s="57" t="s">
        <v>290</v>
      </c>
      <c r="R63" s="63"/>
      <c r="S63" s="63"/>
      <c r="T63" s="63"/>
      <c r="U63" s="77" t="s">
        <v>424</v>
      </c>
      <c r="V63" s="1" t="s">
        <v>292</v>
      </c>
      <c r="W63" s="1" t="s">
        <v>293</v>
      </c>
      <c r="X63" s="1" t="s">
        <v>294</v>
      </c>
      <c r="Y63" s="1" t="s">
        <v>294</v>
      </c>
      <c r="AB63" t="s">
        <v>350</v>
      </c>
      <c r="AC63" s="54" t="s">
        <v>425</v>
      </c>
      <c r="AD63" t="s">
        <v>426</v>
      </c>
    </row>
    <row r="64" spans="1:30" ht="165" x14ac:dyDescent="0.25">
      <c r="B64" s="49" t="s">
        <v>146</v>
      </c>
      <c r="C64" s="42">
        <v>8015</v>
      </c>
      <c r="D64" s="43" t="s">
        <v>22</v>
      </c>
      <c r="E64" s="42" t="s">
        <v>147</v>
      </c>
      <c r="F64" s="43" t="s">
        <v>32</v>
      </c>
      <c r="G64" s="44" t="s">
        <v>19</v>
      </c>
      <c r="H64" s="43" t="s">
        <v>335</v>
      </c>
      <c r="I64" s="43"/>
      <c r="J64" s="44">
        <v>46080</v>
      </c>
      <c r="K64" s="44"/>
      <c r="L64" s="43"/>
      <c r="M64" s="43"/>
      <c r="N64" s="43"/>
      <c r="O64" s="44"/>
      <c r="P64" s="50" t="s">
        <v>427</v>
      </c>
      <c r="Q64" s="43" t="s">
        <v>290</v>
      </c>
      <c r="S64" s="51" t="s">
        <v>428</v>
      </c>
      <c r="U64" s="51" t="s">
        <v>429</v>
      </c>
      <c r="V64" s="1" t="s">
        <v>294</v>
      </c>
      <c r="W64" s="1" t="s">
        <v>338</v>
      </c>
      <c r="X64" s="1" t="s">
        <v>294</v>
      </c>
      <c r="Y64" s="1" t="s">
        <v>294</v>
      </c>
      <c r="Z64" s="2" t="s">
        <v>295</v>
      </c>
      <c r="AA64" s="53" t="s">
        <v>430</v>
      </c>
      <c r="AB64" s="1" t="s">
        <v>431</v>
      </c>
      <c r="AC64" s="54" t="s">
        <v>432</v>
      </c>
    </row>
    <row r="65" spans="2:29" ht="15.75" x14ac:dyDescent="0.25">
      <c r="B65" s="49" t="s">
        <v>148</v>
      </c>
      <c r="C65" s="42">
        <v>430</v>
      </c>
      <c r="D65" s="43" t="s">
        <v>22</v>
      </c>
      <c r="E65" s="42" t="s">
        <v>149</v>
      </c>
      <c r="F65" s="43" t="s">
        <v>23</v>
      </c>
      <c r="G65" s="44" t="s">
        <v>19</v>
      </c>
      <c r="H65" s="43"/>
      <c r="I65" s="43" t="s">
        <v>281</v>
      </c>
      <c r="J65" s="45" t="s">
        <v>433</v>
      </c>
      <c r="K65" s="44"/>
      <c r="L65" s="43"/>
      <c r="M65" s="43"/>
      <c r="N65" s="43"/>
      <c r="O65" s="44"/>
      <c r="P65" s="46"/>
      <c r="Q65" s="47"/>
      <c r="R65"/>
      <c r="S65"/>
      <c r="T65"/>
      <c r="U65" s="23" t="s">
        <v>283</v>
      </c>
      <c r="V65" t="s">
        <v>284</v>
      </c>
      <c r="W65"/>
      <c r="X65"/>
      <c r="Y65"/>
    </row>
    <row r="66" spans="2:29" ht="105" x14ac:dyDescent="0.25">
      <c r="B66" s="41" t="s">
        <v>150</v>
      </c>
      <c r="C66" s="42">
        <v>8030</v>
      </c>
      <c r="D66" s="43" t="s">
        <v>10</v>
      </c>
      <c r="E66" s="42" t="s">
        <v>151</v>
      </c>
      <c r="F66" s="43" t="s">
        <v>62</v>
      </c>
      <c r="G66" s="44" t="s">
        <v>36</v>
      </c>
      <c r="H66" s="43" t="s">
        <v>353</v>
      </c>
      <c r="I66" s="43"/>
      <c r="J66" s="55">
        <v>46080</v>
      </c>
      <c r="K66" s="44"/>
      <c r="L66" s="44">
        <v>46087</v>
      </c>
      <c r="M66" s="43"/>
      <c r="N66" s="44">
        <v>46094</v>
      </c>
      <c r="O66" s="44"/>
      <c r="P66" s="50" t="s">
        <v>434</v>
      </c>
      <c r="Q66" s="43" t="s">
        <v>290</v>
      </c>
      <c r="R66" s="43"/>
      <c r="S66" s="43"/>
      <c r="T66" s="43"/>
      <c r="U66" s="69" t="s">
        <v>435</v>
      </c>
      <c r="V66" s="43"/>
      <c r="W66" s="43" t="s">
        <v>293</v>
      </c>
      <c r="X66" s="43"/>
      <c r="Y66" s="43" t="s">
        <v>294</v>
      </c>
      <c r="Z66" s="70" t="s">
        <v>294</v>
      </c>
      <c r="AA66" s="78" t="s">
        <v>436</v>
      </c>
      <c r="AB66" s="47"/>
      <c r="AC66" s="54" t="s">
        <v>437</v>
      </c>
    </row>
    <row r="67" spans="2:29" ht="75" x14ac:dyDescent="0.25">
      <c r="B67" s="60" t="s">
        <v>152</v>
      </c>
      <c r="C67" s="42">
        <v>4955</v>
      </c>
      <c r="D67" s="43" t="s">
        <v>10</v>
      </c>
      <c r="E67" s="42" t="s">
        <v>153</v>
      </c>
      <c r="F67" s="43" t="s">
        <v>62</v>
      </c>
      <c r="G67" s="44" t="s">
        <v>36</v>
      </c>
      <c r="H67" s="43" t="s">
        <v>353</v>
      </c>
      <c r="I67" s="43" t="s">
        <v>281</v>
      </c>
      <c r="J67" s="61">
        <v>46010</v>
      </c>
      <c r="K67" s="44" t="s">
        <v>316</v>
      </c>
      <c r="L67" s="44">
        <v>45940</v>
      </c>
      <c r="M67" s="43" t="s">
        <v>311</v>
      </c>
      <c r="N67" s="44"/>
      <c r="O67" s="44"/>
      <c r="P67" s="62" t="s">
        <v>438</v>
      </c>
      <c r="Q67" s="43" t="s">
        <v>290</v>
      </c>
      <c r="R67" s="43"/>
      <c r="S67" s="43"/>
      <c r="T67" s="43"/>
      <c r="U67" s="69" t="s">
        <v>439</v>
      </c>
      <c r="V67" s="43"/>
      <c r="W67" s="43" t="s">
        <v>293</v>
      </c>
      <c r="X67" s="43"/>
      <c r="Y67" s="43" t="s">
        <v>294</v>
      </c>
      <c r="Z67" s="70" t="s">
        <v>294</v>
      </c>
      <c r="AA67" s="71" t="s">
        <v>440</v>
      </c>
      <c r="AB67" s="47"/>
      <c r="AC67" s="79" t="s">
        <v>441</v>
      </c>
    </row>
    <row r="68" spans="2:29" ht="285" x14ac:dyDescent="0.25">
      <c r="B68" s="49" t="s">
        <v>154</v>
      </c>
      <c r="C68" s="42">
        <v>1739</v>
      </c>
      <c r="D68" s="43" t="s">
        <v>22</v>
      </c>
      <c r="E68" s="42" t="s">
        <v>155</v>
      </c>
      <c r="F68" s="43" t="s">
        <v>55</v>
      </c>
      <c r="G68" s="44" t="s">
        <v>19</v>
      </c>
      <c r="H68" s="43" t="s">
        <v>335</v>
      </c>
      <c r="I68" s="43" t="s">
        <v>309</v>
      </c>
      <c r="J68" s="44">
        <v>46055</v>
      </c>
      <c r="K68" s="80" t="s">
        <v>442</v>
      </c>
      <c r="L68" s="43"/>
      <c r="M68" s="43"/>
      <c r="N68" s="44">
        <v>46080</v>
      </c>
      <c r="O68" s="44"/>
      <c r="P68" s="50" t="s">
        <v>443</v>
      </c>
      <c r="Q68" s="43" t="s">
        <v>290</v>
      </c>
      <c r="U68" s="51" t="s">
        <v>444</v>
      </c>
      <c r="V68" s="1" t="s">
        <v>294</v>
      </c>
      <c r="W68" s="1" t="s">
        <v>338</v>
      </c>
      <c r="X68" s="1" t="s">
        <v>294</v>
      </c>
      <c r="Y68" s="1" t="s">
        <v>294</v>
      </c>
      <c r="Z68" s="2" t="s">
        <v>295</v>
      </c>
      <c r="AA68" s="53" t="s">
        <v>445</v>
      </c>
      <c r="AC68" s="54" t="s">
        <v>446</v>
      </c>
    </row>
    <row r="69" spans="2:29" ht="15.75" x14ac:dyDescent="0.25">
      <c r="B69" s="56" t="s">
        <v>156</v>
      </c>
      <c r="C69" s="42">
        <v>8050</v>
      </c>
      <c r="D69" s="43" t="s">
        <v>10</v>
      </c>
      <c r="E69" s="42" t="s">
        <v>157</v>
      </c>
      <c r="F69" s="43" t="s">
        <v>15</v>
      </c>
      <c r="G69" s="45" t="s">
        <v>12</v>
      </c>
      <c r="H69" s="57"/>
      <c r="I69" s="57" t="s">
        <v>309</v>
      </c>
      <c r="J69" s="45" t="s">
        <v>447</v>
      </c>
      <c r="K69" s="45" t="s">
        <v>311</v>
      </c>
      <c r="L69" s="45" t="s">
        <v>311</v>
      </c>
      <c r="M69" s="45" t="s">
        <v>311</v>
      </c>
      <c r="N69" s="45" t="s">
        <v>311</v>
      </c>
      <c r="O69" s="45"/>
      <c r="P69" s="58"/>
      <c r="Q69" s="59"/>
      <c r="R69" s="23"/>
      <c r="S69" s="23"/>
      <c r="T69" s="23"/>
      <c r="U69" s="23" t="s">
        <v>283</v>
      </c>
      <c r="V69" s="23" t="s">
        <v>284</v>
      </c>
      <c r="W69" s="23"/>
      <c r="X69"/>
      <c r="Y69"/>
    </row>
    <row r="70" spans="2:29" ht="15.75" x14ac:dyDescent="0.25">
      <c r="B70" s="56" t="s">
        <v>158</v>
      </c>
      <c r="C70" s="42">
        <v>2327</v>
      </c>
      <c r="D70" s="43" t="s">
        <v>10</v>
      </c>
      <c r="E70" s="42" t="s">
        <v>159</v>
      </c>
      <c r="F70" s="43" t="s">
        <v>79</v>
      </c>
      <c r="G70" s="45" t="s">
        <v>12</v>
      </c>
      <c r="H70" s="57"/>
      <c r="I70" s="57" t="s">
        <v>309</v>
      </c>
      <c r="J70" s="45" t="s">
        <v>367</v>
      </c>
      <c r="K70" s="45" t="s">
        <v>311</v>
      </c>
      <c r="L70" s="45" t="s">
        <v>311</v>
      </c>
      <c r="M70" s="45" t="s">
        <v>311</v>
      </c>
      <c r="N70" s="45" t="s">
        <v>311</v>
      </c>
      <c r="O70" s="45"/>
      <c r="P70" s="58"/>
      <c r="Q70" s="59"/>
      <c r="R70" s="23"/>
      <c r="S70" s="23"/>
      <c r="T70" s="23"/>
      <c r="U70" s="23" t="s">
        <v>283</v>
      </c>
      <c r="V70" s="23" t="s">
        <v>284</v>
      </c>
      <c r="W70" s="23"/>
      <c r="X70"/>
      <c r="Y70"/>
    </row>
    <row r="71" spans="2:29" ht="15.75" x14ac:dyDescent="0.25">
      <c r="B71" s="56" t="s">
        <v>160</v>
      </c>
      <c r="C71" s="42">
        <v>4117</v>
      </c>
      <c r="D71" s="43" t="s">
        <v>22</v>
      </c>
      <c r="E71" s="42" t="s">
        <v>161</v>
      </c>
      <c r="F71" s="43" t="s">
        <v>35</v>
      </c>
      <c r="G71" s="45" t="s">
        <v>36</v>
      </c>
      <c r="H71" s="57"/>
      <c r="I71" s="57" t="s">
        <v>309</v>
      </c>
      <c r="J71" s="45" t="s">
        <v>359</v>
      </c>
      <c r="K71" s="45" t="s">
        <v>311</v>
      </c>
      <c r="L71" s="45" t="s">
        <v>311</v>
      </c>
      <c r="M71" s="45" t="s">
        <v>311</v>
      </c>
      <c r="N71" s="45" t="s">
        <v>311</v>
      </c>
      <c r="O71" s="45"/>
      <c r="P71" s="58"/>
      <c r="Q71" s="59"/>
      <c r="R71" s="23"/>
      <c r="S71" s="23"/>
      <c r="T71" s="23"/>
      <c r="U71" s="23" t="s">
        <v>283</v>
      </c>
      <c r="V71" s="23" t="s">
        <v>284</v>
      </c>
      <c r="W71" s="23"/>
      <c r="X71"/>
      <c r="Y71"/>
    </row>
    <row r="72" spans="2:29" ht="15.75" x14ac:dyDescent="0.25">
      <c r="B72" s="56" t="s">
        <v>162</v>
      </c>
      <c r="C72" s="42">
        <v>5568</v>
      </c>
      <c r="D72" s="43" t="s">
        <v>10</v>
      </c>
      <c r="E72" s="42" t="s">
        <v>163</v>
      </c>
      <c r="F72" s="43" t="s">
        <v>15</v>
      </c>
      <c r="G72" s="45" t="s">
        <v>12</v>
      </c>
      <c r="H72" s="57"/>
      <c r="I72" s="57" t="s">
        <v>309</v>
      </c>
      <c r="J72" s="45" t="s">
        <v>448</v>
      </c>
      <c r="K72" s="45" t="s">
        <v>311</v>
      </c>
      <c r="L72" s="45" t="s">
        <v>311</v>
      </c>
      <c r="M72" s="45" t="s">
        <v>311</v>
      </c>
      <c r="N72" s="45" t="s">
        <v>311</v>
      </c>
      <c r="O72" s="45"/>
      <c r="P72" s="58"/>
      <c r="Q72" s="59"/>
      <c r="R72" s="23"/>
      <c r="S72" s="23"/>
      <c r="T72" s="23"/>
      <c r="U72" s="23" t="s">
        <v>283</v>
      </c>
      <c r="V72" s="23" t="s">
        <v>284</v>
      </c>
      <c r="W72" s="23"/>
      <c r="X72"/>
      <c r="Y72"/>
    </row>
    <row r="73" spans="2:29" ht="15.75" x14ac:dyDescent="0.25">
      <c r="B73" s="56" t="s">
        <v>164</v>
      </c>
      <c r="C73" s="42">
        <v>4975</v>
      </c>
      <c r="D73" s="43" t="s">
        <v>10</v>
      </c>
      <c r="E73" s="42" t="s">
        <v>165</v>
      </c>
      <c r="F73" s="43" t="s">
        <v>15</v>
      </c>
      <c r="G73" s="45" t="s">
        <v>12</v>
      </c>
      <c r="H73" s="57"/>
      <c r="I73" s="57" t="s">
        <v>309</v>
      </c>
      <c r="J73" s="45" t="s">
        <v>448</v>
      </c>
      <c r="K73" s="45" t="s">
        <v>311</v>
      </c>
      <c r="L73" s="45" t="s">
        <v>311</v>
      </c>
      <c r="M73" s="45" t="s">
        <v>311</v>
      </c>
      <c r="N73" s="45" t="s">
        <v>311</v>
      </c>
      <c r="O73" s="45"/>
      <c r="P73" s="58"/>
      <c r="Q73" s="59"/>
      <c r="R73" s="23"/>
      <c r="S73" s="23"/>
      <c r="T73" s="23"/>
      <c r="U73" s="23" t="s">
        <v>283</v>
      </c>
      <c r="V73" s="23" t="s">
        <v>284</v>
      </c>
      <c r="W73" s="23"/>
      <c r="X73"/>
      <c r="Y73"/>
    </row>
    <row r="74" spans="2:29" ht="105" x14ac:dyDescent="0.25">
      <c r="B74" s="49" t="s">
        <v>166</v>
      </c>
      <c r="C74" s="42">
        <v>5205</v>
      </c>
      <c r="D74" s="43" t="s">
        <v>10</v>
      </c>
      <c r="E74" s="42" t="s">
        <v>167</v>
      </c>
      <c r="F74" s="43" t="s">
        <v>18</v>
      </c>
      <c r="G74" s="44" t="s">
        <v>19</v>
      </c>
      <c r="H74" s="43" t="s">
        <v>286</v>
      </c>
      <c r="I74" s="43" t="s">
        <v>281</v>
      </c>
      <c r="J74" s="44" t="s">
        <v>414</v>
      </c>
      <c r="K74" s="44" t="s">
        <v>290</v>
      </c>
      <c r="L74" s="43"/>
      <c r="M74" s="43"/>
      <c r="N74" s="43"/>
      <c r="O74" s="44"/>
      <c r="P74" s="50" t="s">
        <v>449</v>
      </c>
      <c r="Q74" s="43" t="s">
        <v>290</v>
      </c>
      <c r="R74" s="43"/>
      <c r="S74" s="43"/>
      <c r="T74" s="43"/>
      <c r="U74" s="69" t="s">
        <v>450</v>
      </c>
      <c r="V74" s="69" t="s">
        <v>292</v>
      </c>
      <c r="W74" s="43"/>
      <c r="X74" s="43"/>
      <c r="Y74" s="43" t="s">
        <v>294</v>
      </c>
      <c r="Z74" s="70" t="s">
        <v>295</v>
      </c>
      <c r="AA74" s="71"/>
      <c r="AB74" s="47"/>
      <c r="AC74" s="52" t="s">
        <v>451</v>
      </c>
    </row>
    <row r="75" spans="2:29" ht="15.75" x14ac:dyDescent="0.25">
      <c r="B75" s="56" t="s">
        <v>168</v>
      </c>
      <c r="C75" s="42">
        <v>427</v>
      </c>
      <c r="D75" s="43" t="s">
        <v>22</v>
      </c>
      <c r="E75" s="42" t="s">
        <v>169</v>
      </c>
      <c r="F75" s="43" t="s">
        <v>55</v>
      </c>
      <c r="G75" s="45" t="s">
        <v>19</v>
      </c>
      <c r="H75" s="57"/>
      <c r="I75" s="57" t="s">
        <v>309</v>
      </c>
      <c r="J75" s="45" t="s">
        <v>418</v>
      </c>
      <c r="K75" s="45" t="s">
        <v>311</v>
      </c>
      <c r="L75" s="45" t="s">
        <v>311</v>
      </c>
      <c r="M75" s="45" t="s">
        <v>311</v>
      </c>
      <c r="N75" s="45" t="s">
        <v>311</v>
      </c>
      <c r="O75" s="45"/>
      <c r="P75" s="58"/>
      <c r="Q75" s="59"/>
      <c r="R75" s="23"/>
      <c r="S75" s="23"/>
      <c r="T75" s="23"/>
      <c r="U75" s="23" t="s">
        <v>283</v>
      </c>
      <c r="V75" s="23" t="s">
        <v>284</v>
      </c>
      <c r="W75" s="23"/>
      <c r="X75"/>
      <c r="Y75"/>
    </row>
    <row r="76" spans="2:29" ht="15.75" x14ac:dyDescent="0.25">
      <c r="B76" s="56" t="s">
        <v>170</v>
      </c>
      <c r="C76" s="42">
        <v>8102</v>
      </c>
      <c r="D76" s="43" t="s">
        <v>10</v>
      </c>
      <c r="E76" s="42" t="s">
        <v>171</v>
      </c>
      <c r="F76" s="43" t="s">
        <v>79</v>
      </c>
      <c r="G76" s="45" t="s">
        <v>12</v>
      </c>
      <c r="H76" s="57"/>
      <c r="I76" s="57" t="s">
        <v>309</v>
      </c>
      <c r="J76" s="45" t="s">
        <v>452</v>
      </c>
      <c r="K76" s="45" t="s">
        <v>311</v>
      </c>
      <c r="L76" s="45" t="s">
        <v>311</v>
      </c>
      <c r="M76" s="45" t="s">
        <v>311</v>
      </c>
      <c r="N76" s="45" t="s">
        <v>311</v>
      </c>
      <c r="O76" s="45"/>
      <c r="P76" s="58"/>
      <c r="Q76" s="59"/>
      <c r="R76" s="23"/>
      <c r="S76" s="23"/>
      <c r="T76" s="23"/>
      <c r="U76" s="23" t="s">
        <v>283</v>
      </c>
      <c r="V76" s="23" t="s">
        <v>284</v>
      </c>
      <c r="W76" s="23"/>
      <c r="X76"/>
      <c r="Y76"/>
    </row>
    <row r="77" spans="2:29" ht="15.75" x14ac:dyDescent="0.25">
      <c r="B77" s="41" t="s">
        <v>172</v>
      </c>
      <c r="C77" s="42">
        <v>2248</v>
      </c>
      <c r="D77" s="43" t="s">
        <v>10</v>
      </c>
      <c r="E77" s="42" t="s">
        <v>173</v>
      </c>
      <c r="F77" s="43" t="s">
        <v>50</v>
      </c>
      <c r="G77" s="44" t="s">
        <v>36</v>
      </c>
      <c r="H77" s="43"/>
      <c r="I77" s="43" t="s">
        <v>281</v>
      </c>
      <c r="J77" s="45" t="s">
        <v>392</v>
      </c>
      <c r="K77" s="44"/>
      <c r="L77" s="43"/>
      <c r="M77" s="43"/>
      <c r="N77" s="43"/>
      <c r="O77" s="44"/>
      <c r="P77" s="46"/>
      <c r="Q77" s="47"/>
      <c r="R77"/>
      <c r="S77"/>
      <c r="T77"/>
      <c r="U77" s="23" t="s">
        <v>283</v>
      </c>
      <c r="V77" s="23" t="s">
        <v>284</v>
      </c>
      <c r="W77"/>
      <c r="X77"/>
      <c r="Y77"/>
    </row>
    <row r="78" spans="2:29" ht="15.75" x14ac:dyDescent="0.25">
      <c r="B78" s="56" t="s">
        <v>174</v>
      </c>
      <c r="C78" s="42">
        <v>2103</v>
      </c>
      <c r="D78" s="43" t="s">
        <v>22</v>
      </c>
      <c r="E78" s="42" t="s">
        <v>175</v>
      </c>
      <c r="F78" s="43" t="s">
        <v>55</v>
      </c>
      <c r="G78" s="45" t="s">
        <v>19</v>
      </c>
      <c r="H78" s="57"/>
      <c r="I78" s="57" t="s">
        <v>309</v>
      </c>
      <c r="J78" s="45" t="s">
        <v>453</v>
      </c>
      <c r="K78" s="45" t="s">
        <v>311</v>
      </c>
      <c r="L78" s="45" t="s">
        <v>311</v>
      </c>
      <c r="M78" s="45" t="s">
        <v>311</v>
      </c>
      <c r="N78" s="45" t="s">
        <v>311</v>
      </c>
      <c r="O78" s="45"/>
      <c r="P78" s="58"/>
      <c r="Q78" s="59"/>
      <c r="R78" s="23"/>
      <c r="S78" s="23"/>
      <c r="T78" s="23"/>
      <c r="U78" s="23" t="s">
        <v>283</v>
      </c>
      <c r="V78" s="23" t="s">
        <v>284</v>
      </c>
      <c r="W78" s="23"/>
      <c r="X78"/>
      <c r="Y78"/>
    </row>
    <row r="79" spans="2:29" ht="15.75" x14ac:dyDescent="0.25">
      <c r="B79" s="49" t="s">
        <v>176</v>
      </c>
      <c r="C79" s="42">
        <v>5410</v>
      </c>
      <c r="D79" s="43" t="s">
        <v>22</v>
      </c>
      <c r="E79" s="42" t="s">
        <v>177</v>
      </c>
      <c r="F79" s="43" t="s">
        <v>32</v>
      </c>
      <c r="G79" s="44" t="s">
        <v>19</v>
      </c>
      <c r="H79" s="43"/>
      <c r="I79" s="43" t="s">
        <v>281</v>
      </c>
      <c r="J79" s="45" t="s">
        <v>454</v>
      </c>
      <c r="K79" s="44"/>
      <c r="L79" s="43"/>
      <c r="M79" s="43"/>
      <c r="N79" s="43"/>
      <c r="O79" s="44"/>
      <c r="P79" s="46"/>
      <c r="Q79" s="47"/>
      <c r="R79"/>
      <c r="S79"/>
      <c r="T79"/>
      <c r="U79" s="23" t="s">
        <v>283</v>
      </c>
      <c r="V79" s="23" t="s">
        <v>284</v>
      </c>
      <c r="W79"/>
      <c r="X79"/>
      <c r="Y79"/>
    </row>
    <row r="80" spans="2:29" ht="150" x14ac:dyDescent="0.25">
      <c r="B80" s="60" t="s">
        <v>178</v>
      </c>
      <c r="C80" s="42">
        <v>8865</v>
      </c>
      <c r="D80" s="43" t="s">
        <v>10</v>
      </c>
      <c r="E80" s="42" t="s">
        <v>179</v>
      </c>
      <c r="F80" s="43" t="s">
        <v>50</v>
      </c>
      <c r="G80" s="44" t="s">
        <v>36</v>
      </c>
      <c r="H80" s="43" t="s">
        <v>298</v>
      </c>
      <c r="I80" s="43" t="s">
        <v>281</v>
      </c>
      <c r="J80" s="44" t="s">
        <v>455</v>
      </c>
      <c r="K80" s="44" t="s">
        <v>316</v>
      </c>
      <c r="L80" s="43" t="s">
        <v>290</v>
      </c>
      <c r="M80" s="43"/>
      <c r="N80" s="44">
        <v>46066</v>
      </c>
      <c r="O80" s="44"/>
      <c r="P80" s="62" t="s">
        <v>456</v>
      </c>
      <c r="Q80" s="43" t="s">
        <v>290</v>
      </c>
      <c r="S80" s="1" t="s">
        <v>457</v>
      </c>
      <c r="T80" s="1" t="s">
        <v>294</v>
      </c>
      <c r="U80" s="51" t="s">
        <v>458</v>
      </c>
      <c r="W80" s="1" t="s">
        <v>293</v>
      </c>
      <c r="X80" s="1" t="s">
        <v>294</v>
      </c>
      <c r="Y80" s="1" t="s">
        <v>294</v>
      </c>
      <c r="AA80" s="81" t="s">
        <v>459</v>
      </c>
      <c r="AB80" s="26" t="s">
        <v>460</v>
      </c>
      <c r="AC80" s="54" t="s">
        <v>461</v>
      </c>
    </row>
    <row r="81" spans="2:32" ht="150" x14ac:dyDescent="0.25">
      <c r="B81" s="64" t="s">
        <v>180</v>
      </c>
      <c r="C81" s="42">
        <v>4780</v>
      </c>
      <c r="D81" s="43" t="s">
        <v>10</v>
      </c>
      <c r="E81" s="42" t="s">
        <v>181</v>
      </c>
      <c r="F81" s="43" t="s">
        <v>44</v>
      </c>
      <c r="G81" s="44" t="s">
        <v>45</v>
      </c>
      <c r="H81" s="43" t="s">
        <v>324</v>
      </c>
      <c r="I81" s="43" t="s">
        <v>281</v>
      </c>
      <c r="J81" s="61"/>
      <c r="K81" s="44" t="s">
        <v>290</v>
      </c>
      <c r="L81" s="44">
        <v>46269</v>
      </c>
      <c r="M81" s="43" t="s">
        <v>311</v>
      </c>
      <c r="N81" s="44">
        <v>46175</v>
      </c>
      <c r="O81" s="44"/>
      <c r="P81" s="62" t="s">
        <v>462</v>
      </c>
      <c r="Q81" s="43" t="s">
        <v>290</v>
      </c>
      <c r="T81" s="1" t="s">
        <v>326</v>
      </c>
      <c r="U81" s="51" t="s">
        <v>327</v>
      </c>
      <c r="W81" s="1" t="s">
        <v>293</v>
      </c>
      <c r="X81" s="1" t="s">
        <v>406</v>
      </c>
      <c r="Y81" s="1" t="s">
        <v>294</v>
      </c>
      <c r="AC81" s="54" t="s">
        <v>463</v>
      </c>
      <c r="AE81" t="s">
        <v>464</v>
      </c>
    </row>
    <row r="82" spans="2:32" ht="15.75" x14ac:dyDescent="0.25">
      <c r="B82" s="56" t="s">
        <v>182</v>
      </c>
      <c r="C82" s="42">
        <v>5504</v>
      </c>
      <c r="D82" s="43" t="s">
        <v>10</v>
      </c>
      <c r="E82" s="42" t="s">
        <v>183</v>
      </c>
      <c r="F82" s="43" t="s">
        <v>50</v>
      </c>
      <c r="G82" s="45" t="s">
        <v>36</v>
      </c>
      <c r="H82" s="57"/>
      <c r="I82" s="57" t="s">
        <v>309</v>
      </c>
      <c r="J82" s="45" t="s">
        <v>465</v>
      </c>
      <c r="K82" s="45" t="s">
        <v>311</v>
      </c>
      <c r="L82" s="45" t="s">
        <v>311</v>
      </c>
      <c r="M82" s="45" t="s">
        <v>311</v>
      </c>
      <c r="N82" s="45" t="s">
        <v>311</v>
      </c>
      <c r="O82" s="45"/>
      <c r="P82" s="58"/>
      <c r="Q82" s="59"/>
      <c r="R82" s="23"/>
      <c r="S82" s="23"/>
      <c r="T82" s="23"/>
      <c r="U82" s="23" t="s">
        <v>283</v>
      </c>
      <c r="V82" s="23" t="s">
        <v>284</v>
      </c>
      <c r="W82" s="23"/>
      <c r="X82"/>
      <c r="Y82"/>
    </row>
    <row r="83" spans="2:32" ht="15.75" x14ac:dyDescent="0.25">
      <c r="B83" s="56" t="s">
        <v>184</v>
      </c>
      <c r="C83" s="42">
        <v>4843</v>
      </c>
      <c r="D83" s="43" t="s">
        <v>10</v>
      </c>
      <c r="E83" s="42" t="s">
        <v>185</v>
      </c>
      <c r="F83" s="43" t="s">
        <v>62</v>
      </c>
      <c r="G83" s="45" t="s">
        <v>36</v>
      </c>
      <c r="H83" s="57"/>
      <c r="I83" s="57" t="s">
        <v>309</v>
      </c>
      <c r="J83" s="45" t="s">
        <v>466</v>
      </c>
      <c r="K83" s="45" t="s">
        <v>311</v>
      </c>
      <c r="L83" s="45" t="s">
        <v>311</v>
      </c>
      <c r="M83" s="45" t="s">
        <v>311</v>
      </c>
      <c r="N83" s="45" t="s">
        <v>311</v>
      </c>
      <c r="O83" s="45"/>
      <c r="P83" s="58"/>
      <c r="Q83" s="59"/>
      <c r="R83" s="23"/>
      <c r="S83" s="23"/>
      <c r="T83" s="23"/>
      <c r="U83" s="23" t="s">
        <v>283</v>
      </c>
      <c r="V83" s="23" t="s">
        <v>284</v>
      </c>
      <c r="W83" s="23"/>
      <c r="X83"/>
      <c r="Y83"/>
    </row>
    <row r="84" spans="2:32" ht="15.75" x14ac:dyDescent="0.25">
      <c r="B84" s="56" t="s">
        <v>186</v>
      </c>
      <c r="C84" s="42">
        <v>5480</v>
      </c>
      <c r="D84" s="43" t="s">
        <v>22</v>
      </c>
      <c r="E84" s="42" t="s">
        <v>187</v>
      </c>
      <c r="F84" s="43" t="s">
        <v>23</v>
      </c>
      <c r="G84" s="45" t="s">
        <v>19</v>
      </c>
      <c r="H84" s="57"/>
      <c r="I84" s="57" t="s">
        <v>309</v>
      </c>
      <c r="J84" s="45" t="s">
        <v>467</v>
      </c>
      <c r="K84" s="45" t="s">
        <v>311</v>
      </c>
      <c r="L84" s="45" t="s">
        <v>311</v>
      </c>
      <c r="M84" s="45" t="s">
        <v>311</v>
      </c>
      <c r="N84" s="45" t="s">
        <v>311</v>
      </c>
      <c r="O84" s="45"/>
      <c r="P84" s="58"/>
      <c r="Q84" s="59"/>
      <c r="R84" s="23"/>
      <c r="S84" s="23"/>
      <c r="T84" s="23"/>
      <c r="U84" s="23" t="s">
        <v>283</v>
      </c>
      <c r="V84" s="23" t="s">
        <v>284</v>
      </c>
      <c r="W84" s="23"/>
      <c r="X84"/>
      <c r="Y84"/>
    </row>
    <row r="85" spans="2:32" ht="150" x14ac:dyDescent="0.25">
      <c r="B85" s="64" t="s">
        <v>188</v>
      </c>
      <c r="C85" s="42">
        <v>8725</v>
      </c>
      <c r="D85" s="43" t="s">
        <v>10</v>
      </c>
      <c r="E85" s="42" t="s">
        <v>189</v>
      </c>
      <c r="F85" s="43" t="s">
        <v>44</v>
      </c>
      <c r="G85" s="44" t="s">
        <v>45</v>
      </c>
      <c r="H85" s="43" t="s">
        <v>324</v>
      </c>
      <c r="I85" s="43" t="s">
        <v>281</v>
      </c>
      <c r="J85" s="61"/>
      <c r="K85" s="44" t="s">
        <v>290</v>
      </c>
      <c r="L85" s="44">
        <v>46035</v>
      </c>
      <c r="M85" s="43"/>
      <c r="N85" s="44">
        <v>46175</v>
      </c>
      <c r="O85" s="44"/>
      <c r="P85" s="82" t="s">
        <v>468</v>
      </c>
      <c r="Q85" s="43" t="s">
        <v>290</v>
      </c>
      <c r="T85" s="1" t="s">
        <v>326</v>
      </c>
      <c r="U85" s="51" t="s">
        <v>327</v>
      </c>
      <c r="W85" s="1" t="s">
        <v>293</v>
      </c>
      <c r="X85" s="1" t="s">
        <v>406</v>
      </c>
      <c r="Y85" s="1" t="s">
        <v>294</v>
      </c>
      <c r="Z85" s="2" t="s">
        <v>294</v>
      </c>
      <c r="AC85" s="54" t="s">
        <v>469</v>
      </c>
    </row>
    <row r="86" spans="2:32" ht="15.75" x14ac:dyDescent="0.25">
      <c r="B86" s="56" t="s">
        <v>190</v>
      </c>
      <c r="C86" s="42">
        <v>5369</v>
      </c>
      <c r="D86" s="43" t="s">
        <v>22</v>
      </c>
      <c r="E86" s="42" t="s">
        <v>191</v>
      </c>
      <c r="F86" s="43" t="s">
        <v>35</v>
      </c>
      <c r="G86" s="45" t="s">
        <v>36</v>
      </c>
      <c r="H86" s="57"/>
      <c r="I86" s="57" t="s">
        <v>309</v>
      </c>
      <c r="J86" s="45" t="s">
        <v>470</v>
      </c>
      <c r="K86" s="45" t="s">
        <v>311</v>
      </c>
      <c r="L86" s="45" t="s">
        <v>311</v>
      </c>
      <c r="M86" s="45" t="s">
        <v>311</v>
      </c>
      <c r="N86" s="45" t="s">
        <v>311</v>
      </c>
      <c r="O86" s="45"/>
      <c r="P86" s="58"/>
      <c r="Q86" s="57" t="s">
        <v>290</v>
      </c>
      <c r="R86" s="63"/>
      <c r="S86" s="63"/>
      <c r="T86" s="63"/>
      <c r="U86" s="63" t="s">
        <v>283</v>
      </c>
      <c r="V86" s="63" t="s">
        <v>284</v>
      </c>
      <c r="W86" s="63"/>
      <c r="Z86" s="2" t="s">
        <v>295</v>
      </c>
    </row>
    <row r="87" spans="2:32" ht="15.75" x14ac:dyDescent="0.25">
      <c r="B87" s="49" t="s">
        <v>192</v>
      </c>
      <c r="C87" s="42">
        <v>8847</v>
      </c>
      <c r="D87" s="43" t="s">
        <v>22</v>
      </c>
      <c r="E87" s="42" t="s">
        <v>193</v>
      </c>
      <c r="F87" s="43" t="s">
        <v>55</v>
      </c>
      <c r="G87" s="44" t="s">
        <v>19</v>
      </c>
      <c r="H87" s="43"/>
      <c r="I87" s="43" t="s">
        <v>281</v>
      </c>
      <c r="J87" s="45" t="s">
        <v>471</v>
      </c>
      <c r="K87" s="44"/>
      <c r="L87" s="43"/>
      <c r="M87" s="43"/>
      <c r="N87" s="43"/>
      <c r="O87" s="44"/>
      <c r="P87" s="46"/>
      <c r="Q87" s="47"/>
      <c r="R87"/>
      <c r="S87"/>
      <c r="T87"/>
      <c r="U87" s="63" t="s">
        <v>283</v>
      </c>
      <c r="V87" s="63" t="s">
        <v>284</v>
      </c>
      <c r="W87"/>
      <c r="X87"/>
      <c r="Y87"/>
    </row>
    <row r="88" spans="2:32" ht="15.75" x14ac:dyDescent="0.25">
      <c r="B88" s="56" t="s">
        <v>194</v>
      </c>
      <c r="C88" s="42">
        <v>1194</v>
      </c>
      <c r="D88" s="43" t="s">
        <v>22</v>
      </c>
      <c r="E88" s="42" t="s">
        <v>195</v>
      </c>
      <c r="F88" s="43" t="s">
        <v>28</v>
      </c>
      <c r="G88" s="45" t="s">
        <v>29</v>
      </c>
      <c r="H88" s="57"/>
      <c r="I88" s="57" t="s">
        <v>309</v>
      </c>
      <c r="J88" s="45" t="s">
        <v>472</v>
      </c>
      <c r="K88" s="45" t="s">
        <v>311</v>
      </c>
      <c r="L88" s="45" t="s">
        <v>311</v>
      </c>
      <c r="M88" s="45" t="s">
        <v>311</v>
      </c>
      <c r="N88" s="45" t="s">
        <v>311</v>
      </c>
      <c r="O88" s="45"/>
      <c r="P88" s="58"/>
      <c r="Q88" s="59"/>
      <c r="R88" s="23"/>
      <c r="S88" s="23"/>
      <c r="T88" s="23"/>
      <c r="U88" s="63" t="s">
        <v>283</v>
      </c>
      <c r="V88" s="63" t="s">
        <v>284</v>
      </c>
      <c r="W88" s="23"/>
      <c r="X88"/>
      <c r="Y88"/>
    </row>
    <row r="89" spans="2:32" ht="15.75" x14ac:dyDescent="0.25">
      <c r="B89" s="56" t="s">
        <v>196</v>
      </c>
      <c r="C89" s="42">
        <v>489</v>
      </c>
      <c r="D89" s="43" t="s">
        <v>22</v>
      </c>
      <c r="E89" s="42" t="s">
        <v>197</v>
      </c>
      <c r="F89" s="43" t="s">
        <v>28</v>
      </c>
      <c r="G89" s="45" t="s">
        <v>29</v>
      </c>
      <c r="H89" s="57"/>
      <c r="I89" s="57" t="s">
        <v>309</v>
      </c>
      <c r="J89" s="45" t="s">
        <v>472</v>
      </c>
      <c r="K89" s="45" t="s">
        <v>311</v>
      </c>
      <c r="L89" s="45" t="s">
        <v>311</v>
      </c>
      <c r="M89" s="45" t="s">
        <v>311</v>
      </c>
      <c r="N89" s="45" t="s">
        <v>311</v>
      </c>
      <c r="O89" s="45"/>
      <c r="P89" s="58"/>
      <c r="Q89" s="59"/>
      <c r="R89" s="23"/>
      <c r="S89" s="23"/>
      <c r="T89" s="23"/>
      <c r="U89" s="63" t="s">
        <v>283</v>
      </c>
      <c r="V89" s="63" t="s">
        <v>284</v>
      </c>
      <c r="W89" s="23"/>
      <c r="X89"/>
      <c r="Y89"/>
    </row>
    <row r="90" spans="2:32" ht="15.75" x14ac:dyDescent="0.25">
      <c r="B90" s="56" t="s">
        <v>198</v>
      </c>
      <c r="C90" s="42">
        <v>4663</v>
      </c>
      <c r="D90" s="43" t="s">
        <v>22</v>
      </c>
      <c r="E90" s="42" t="s">
        <v>199</v>
      </c>
      <c r="F90" s="43" t="s">
        <v>35</v>
      </c>
      <c r="G90" s="45" t="s">
        <v>36</v>
      </c>
      <c r="H90" s="57"/>
      <c r="I90" s="57" t="s">
        <v>309</v>
      </c>
      <c r="J90" s="45" t="s">
        <v>359</v>
      </c>
      <c r="K90" s="45" t="s">
        <v>311</v>
      </c>
      <c r="L90" s="45" t="s">
        <v>311</v>
      </c>
      <c r="M90" s="45" t="s">
        <v>311</v>
      </c>
      <c r="N90" s="45" t="s">
        <v>311</v>
      </c>
      <c r="O90" s="45"/>
      <c r="P90" s="58"/>
      <c r="Q90" s="59"/>
      <c r="R90" s="23"/>
      <c r="S90" s="23"/>
      <c r="T90" s="23"/>
      <c r="U90" s="63" t="s">
        <v>283</v>
      </c>
      <c r="V90" s="63" t="s">
        <v>284</v>
      </c>
      <c r="W90" s="23"/>
      <c r="X90"/>
      <c r="Y90"/>
    </row>
    <row r="91" spans="2:32" ht="15.75" x14ac:dyDescent="0.25">
      <c r="B91" s="56" t="s">
        <v>200</v>
      </c>
      <c r="C91" s="42">
        <v>267</v>
      </c>
      <c r="D91" s="43" t="s">
        <v>10</v>
      </c>
      <c r="E91" s="42" t="s">
        <v>201</v>
      </c>
      <c r="F91" s="43" t="s">
        <v>44</v>
      </c>
      <c r="G91" s="45" t="s">
        <v>45</v>
      </c>
      <c r="H91" s="57"/>
      <c r="I91" s="57" t="s">
        <v>309</v>
      </c>
      <c r="J91" s="45" t="s">
        <v>473</v>
      </c>
      <c r="K91" s="45" t="s">
        <v>284</v>
      </c>
      <c r="L91" s="57"/>
      <c r="M91" s="57"/>
      <c r="N91" s="57"/>
      <c r="O91" s="45"/>
      <c r="P91" s="58" t="s">
        <v>474</v>
      </c>
      <c r="Q91" s="59"/>
      <c r="R91" s="23"/>
      <c r="S91" s="23"/>
      <c r="T91" s="23"/>
      <c r="U91" s="63" t="s">
        <v>283</v>
      </c>
      <c r="V91" s="63" t="s">
        <v>284</v>
      </c>
      <c r="W91" s="23"/>
      <c r="X91"/>
      <c r="Y91"/>
    </row>
    <row r="92" spans="2:32" ht="15.75" x14ac:dyDescent="0.25">
      <c r="B92" s="56" t="s">
        <v>202</v>
      </c>
      <c r="C92" s="42">
        <v>8875</v>
      </c>
      <c r="D92" s="43" t="s">
        <v>10</v>
      </c>
      <c r="E92" s="42" t="s">
        <v>203</v>
      </c>
      <c r="F92" s="43" t="s">
        <v>79</v>
      </c>
      <c r="G92" s="45" t="s">
        <v>12</v>
      </c>
      <c r="H92" s="57"/>
      <c r="I92" s="57" t="s">
        <v>309</v>
      </c>
      <c r="J92" s="45" t="s">
        <v>475</v>
      </c>
      <c r="K92" s="45" t="s">
        <v>311</v>
      </c>
      <c r="L92" s="45" t="s">
        <v>311</v>
      </c>
      <c r="M92" s="45" t="s">
        <v>311</v>
      </c>
      <c r="N92" s="45" t="s">
        <v>311</v>
      </c>
      <c r="O92" s="45"/>
      <c r="P92" s="58"/>
      <c r="Q92" s="59"/>
      <c r="R92" s="23"/>
      <c r="S92" s="23"/>
      <c r="T92" s="23"/>
      <c r="U92" s="63" t="s">
        <v>283</v>
      </c>
      <c r="V92" s="63" t="s">
        <v>284</v>
      </c>
      <c r="W92" s="23"/>
      <c r="X92"/>
      <c r="Y92"/>
    </row>
    <row r="93" spans="2:32" ht="15.75" x14ac:dyDescent="0.25">
      <c r="B93" s="56" t="s">
        <v>204</v>
      </c>
      <c r="C93" s="42">
        <v>1090</v>
      </c>
      <c r="D93" s="43" t="s">
        <v>10</v>
      </c>
      <c r="E93" s="42" t="s">
        <v>205</v>
      </c>
      <c r="F93" s="43" t="s">
        <v>79</v>
      </c>
      <c r="G93" s="45" t="s">
        <v>12</v>
      </c>
      <c r="H93" s="57"/>
      <c r="I93" s="57" t="s">
        <v>309</v>
      </c>
      <c r="J93" s="45" t="s">
        <v>476</v>
      </c>
      <c r="K93" s="45" t="s">
        <v>311</v>
      </c>
      <c r="L93" s="45" t="s">
        <v>311</v>
      </c>
      <c r="M93" s="45" t="s">
        <v>311</v>
      </c>
      <c r="N93" s="45" t="s">
        <v>311</v>
      </c>
      <c r="O93" s="45"/>
      <c r="P93" s="58"/>
      <c r="Q93" s="59"/>
      <c r="R93" s="23"/>
      <c r="S93" s="23"/>
      <c r="T93" s="23"/>
      <c r="U93" s="63" t="s">
        <v>283</v>
      </c>
      <c r="V93" s="63" t="s">
        <v>284</v>
      </c>
      <c r="W93" s="23"/>
      <c r="X93"/>
      <c r="Y93"/>
    </row>
    <row r="94" spans="2:32" ht="15.75" x14ac:dyDescent="0.25">
      <c r="B94" s="56" t="s">
        <v>206</v>
      </c>
      <c r="C94" s="42">
        <v>8911</v>
      </c>
      <c r="D94" s="43" t="s">
        <v>22</v>
      </c>
      <c r="E94" s="42" t="s">
        <v>207</v>
      </c>
      <c r="F94" s="43" t="s">
        <v>23</v>
      </c>
      <c r="G94" s="45" t="s">
        <v>19</v>
      </c>
      <c r="H94" s="57"/>
      <c r="I94" s="57" t="s">
        <v>309</v>
      </c>
      <c r="J94" s="45" t="s">
        <v>477</v>
      </c>
      <c r="K94" s="45" t="s">
        <v>311</v>
      </c>
      <c r="L94" s="45" t="s">
        <v>311</v>
      </c>
      <c r="M94" s="45" t="s">
        <v>311</v>
      </c>
      <c r="N94" s="45" t="s">
        <v>311</v>
      </c>
      <c r="O94" s="45"/>
      <c r="P94" s="58"/>
      <c r="Q94" s="59"/>
      <c r="R94" s="23"/>
      <c r="S94" s="23"/>
      <c r="T94" s="23"/>
      <c r="U94" s="63" t="s">
        <v>283</v>
      </c>
      <c r="V94" s="63" t="s">
        <v>284</v>
      </c>
      <c r="W94" s="23"/>
      <c r="X94"/>
      <c r="Y94"/>
    </row>
    <row r="95" spans="2:32" ht="15.75" x14ac:dyDescent="0.25">
      <c r="B95" s="56" t="s">
        <v>208</v>
      </c>
      <c r="C95" s="42">
        <v>4741</v>
      </c>
      <c r="D95" s="43" t="s">
        <v>22</v>
      </c>
      <c r="E95" s="42" t="s">
        <v>209</v>
      </c>
      <c r="F95" s="43" t="s">
        <v>32</v>
      </c>
      <c r="G95" s="45" t="s">
        <v>19</v>
      </c>
      <c r="H95" s="57"/>
      <c r="I95" s="57" t="s">
        <v>309</v>
      </c>
      <c r="J95" s="45" t="s">
        <v>382</v>
      </c>
      <c r="K95" s="45" t="s">
        <v>311</v>
      </c>
      <c r="L95" s="45" t="s">
        <v>311</v>
      </c>
      <c r="M95" s="45" t="s">
        <v>311</v>
      </c>
      <c r="N95" s="45" t="s">
        <v>311</v>
      </c>
      <c r="O95" s="45"/>
      <c r="P95" s="58"/>
      <c r="Q95" s="59"/>
      <c r="R95" s="23"/>
      <c r="S95" s="23"/>
      <c r="T95" s="23"/>
      <c r="U95" s="63" t="s">
        <v>283</v>
      </c>
      <c r="V95" s="63" t="s">
        <v>284</v>
      </c>
      <c r="W95" s="23"/>
      <c r="X95"/>
      <c r="Y95"/>
    </row>
    <row r="96" spans="2:32" ht="150" x14ac:dyDescent="0.25">
      <c r="B96" s="49" t="s">
        <v>210</v>
      </c>
      <c r="C96" s="42">
        <v>1646</v>
      </c>
      <c r="D96" s="43" t="s">
        <v>22</v>
      </c>
      <c r="E96" s="42" t="s">
        <v>211</v>
      </c>
      <c r="F96" s="43" t="s">
        <v>28</v>
      </c>
      <c r="G96" s="44" t="s">
        <v>29</v>
      </c>
      <c r="H96" s="43" t="s">
        <v>383</v>
      </c>
      <c r="I96" s="43"/>
      <c r="J96" s="44" t="s">
        <v>478</v>
      </c>
      <c r="K96" s="44"/>
      <c r="L96" s="43"/>
      <c r="M96" s="43"/>
      <c r="N96" s="43"/>
      <c r="O96" s="44"/>
      <c r="P96" s="46" t="s">
        <v>212</v>
      </c>
      <c r="Q96" s="43" t="s">
        <v>290</v>
      </c>
      <c r="U96" s="51" t="s">
        <v>479</v>
      </c>
      <c r="V96" s="51" t="s">
        <v>480</v>
      </c>
      <c r="W96" s="1" t="s">
        <v>481</v>
      </c>
      <c r="X96" s="1" t="s">
        <v>481</v>
      </c>
      <c r="Y96" s="1" t="s">
        <v>294</v>
      </c>
      <c r="Z96" s="2" t="s">
        <v>295</v>
      </c>
      <c r="AC96" s="54" t="s">
        <v>482</v>
      </c>
      <c r="AD96" t="s">
        <v>483</v>
      </c>
      <c r="AE96" t="s">
        <v>484</v>
      </c>
      <c r="AF96" t="s">
        <v>485</v>
      </c>
    </row>
    <row r="97" spans="1:29" ht="15.75" x14ac:dyDescent="0.25">
      <c r="B97" s="56" t="s">
        <v>213</v>
      </c>
      <c r="C97" s="42">
        <v>8854</v>
      </c>
      <c r="D97" s="43" t="s">
        <v>22</v>
      </c>
      <c r="E97" s="42" t="s">
        <v>214</v>
      </c>
      <c r="F97" s="43" t="s">
        <v>55</v>
      </c>
      <c r="G97" s="45" t="s">
        <v>19</v>
      </c>
      <c r="H97" s="57"/>
      <c r="I97" s="57" t="s">
        <v>309</v>
      </c>
      <c r="J97" s="45" t="s">
        <v>418</v>
      </c>
      <c r="K97" s="45" t="s">
        <v>311</v>
      </c>
      <c r="L97" s="45" t="s">
        <v>311</v>
      </c>
      <c r="M97" s="45" t="s">
        <v>311</v>
      </c>
      <c r="N97" s="45" t="s">
        <v>311</v>
      </c>
      <c r="O97" s="45"/>
      <c r="P97" s="58"/>
      <c r="Q97" s="59"/>
      <c r="R97" s="23"/>
      <c r="S97" s="23"/>
      <c r="T97" s="23"/>
      <c r="U97" s="23" t="s">
        <v>283</v>
      </c>
      <c r="V97" s="23" t="s">
        <v>284</v>
      </c>
      <c r="W97" s="23"/>
      <c r="X97"/>
      <c r="Y97"/>
    </row>
    <row r="98" spans="1:29" ht="15.75" x14ac:dyDescent="0.25">
      <c r="B98" s="56" t="s">
        <v>215</v>
      </c>
      <c r="C98" s="42">
        <v>2065</v>
      </c>
      <c r="D98" s="43" t="s">
        <v>22</v>
      </c>
      <c r="E98" s="42" t="s">
        <v>216</v>
      </c>
      <c r="F98" s="43" t="s">
        <v>28</v>
      </c>
      <c r="G98" s="45" t="s">
        <v>29</v>
      </c>
      <c r="H98" s="57"/>
      <c r="I98" s="57" t="s">
        <v>309</v>
      </c>
      <c r="J98" s="45" t="s">
        <v>486</v>
      </c>
      <c r="K98" s="45" t="s">
        <v>311</v>
      </c>
      <c r="L98" s="45" t="s">
        <v>311</v>
      </c>
      <c r="M98" s="45" t="s">
        <v>311</v>
      </c>
      <c r="N98" s="45" t="s">
        <v>311</v>
      </c>
      <c r="O98" s="45"/>
      <c r="P98" s="58"/>
      <c r="Q98" s="59"/>
      <c r="R98" s="23"/>
      <c r="S98" s="23"/>
      <c r="T98" s="23"/>
      <c r="U98" s="23" t="s">
        <v>283</v>
      </c>
      <c r="V98" s="23" t="s">
        <v>284</v>
      </c>
      <c r="W98" s="23"/>
      <c r="X98"/>
      <c r="Y98"/>
    </row>
    <row r="99" spans="1:29" ht="90" x14ac:dyDescent="0.25">
      <c r="B99" s="41" t="s">
        <v>217</v>
      </c>
      <c r="C99" s="42">
        <v>5479</v>
      </c>
      <c r="D99" s="43" t="s">
        <v>10</v>
      </c>
      <c r="E99" s="42" t="s">
        <v>218</v>
      </c>
      <c r="F99" s="43" t="s">
        <v>50</v>
      </c>
      <c r="G99" s="44" t="s">
        <v>36</v>
      </c>
      <c r="H99" s="43" t="s">
        <v>298</v>
      </c>
      <c r="I99" s="43"/>
      <c r="J99" s="44" t="s">
        <v>487</v>
      </c>
      <c r="K99" s="44"/>
      <c r="L99" s="44"/>
      <c r="M99" s="43"/>
      <c r="N99" s="44">
        <v>46094</v>
      </c>
      <c r="O99" s="44"/>
      <c r="P99" s="83" t="s">
        <v>488</v>
      </c>
      <c r="Q99" s="43" t="s">
        <v>290</v>
      </c>
      <c r="S99" s="1" t="s">
        <v>457</v>
      </c>
      <c r="T99" s="1" t="s">
        <v>294</v>
      </c>
      <c r="U99" s="51" t="s">
        <v>489</v>
      </c>
      <c r="W99" s="1" t="s">
        <v>293</v>
      </c>
      <c r="X99" s="1" t="s">
        <v>294</v>
      </c>
      <c r="Y99" s="1" t="s">
        <v>294</v>
      </c>
      <c r="Z99" s="2" t="s">
        <v>294</v>
      </c>
      <c r="AA99" s="53"/>
      <c r="AC99" s="54" t="s">
        <v>490</v>
      </c>
    </row>
    <row r="100" spans="1:29" ht="15.75" x14ac:dyDescent="0.25">
      <c r="B100" s="56" t="s">
        <v>219</v>
      </c>
      <c r="C100" s="42">
        <v>5414</v>
      </c>
      <c r="D100" s="43" t="s">
        <v>22</v>
      </c>
      <c r="E100" s="42" t="s">
        <v>220</v>
      </c>
      <c r="F100" s="43" t="s">
        <v>23</v>
      </c>
      <c r="G100" s="45" t="s">
        <v>19</v>
      </c>
      <c r="H100" s="57"/>
      <c r="I100" s="57" t="s">
        <v>309</v>
      </c>
      <c r="J100" s="45" t="s">
        <v>476</v>
      </c>
      <c r="K100" s="45" t="s">
        <v>311</v>
      </c>
      <c r="L100" s="45" t="s">
        <v>311</v>
      </c>
      <c r="M100" s="45" t="s">
        <v>311</v>
      </c>
      <c r="N100" s="45" t="s">
        <v>311</v>
      </c>
      <c r="O100" s="45"/>
      <c r="P100" s="58"/>
      <c r="Q100" s="59"/>
      <c r="R100" s="23"/>
      <c r="S100" s="23"/>
      <c r="T100" s="23"/>
      <c r="U100" s="23" t="s">
        <v>283</v>
      </c>
      <c r="V100" s="23" t="s">
        <v>284</v>
      </c>
      <c r="W100" s="23"/>
      <c r="X100"/>
      <c r="Y100"/>
    </row>
    <row r="101" spans="1:29" ht="15.75" x14ac:dyDescent="0.25">
      <c r="B101" s="56" t="s">
        <v>221</v>
      </c>
      <c r="C101" s="42">
        <v>3016</v>
      </c>
      <c r="D101" s="43" t="s">
        <v>10</v>
      </c>
      <c r="E101" s="42" t="s">
        <v>222</v>
      </c>
      <c r="F101" s="43" t="s">
        <v>11</v>
      </c>
      <c r="G101" s="45" t="s">
        <v>12</v>
      </c>
      <c r="H101" s="57"/>
      <c r="I101" s="57" t="s">
        <v>309</v>
      </c>
      <c r="J101" s="45" t="s">
        <v>412</v>
      </c>
      <c r="K101" s="45" t="s">
        <v>311</v>
      </c>
      <c r="L101" s="45" t="s">
        <v>311</v>
      </c>
      <c r="M101" s="45" t="s">
        <v>311</v>
      </c>
      <c r="N101" s="45" t="s">
        <v>311</v>
      </c>
      <c r="O101" s="45"/>
      <c r="P101" s="58"/>
      <c r="Q101" s="59"/>
      <c r="R101" s="23"/>
      <c r="S101" s="23"/>
      <c r="T101" s="23"/>
      <c r="U101" s="23" t="s">
        <v>283</v>
      </c>
      <c r="V101" s="23" t="s">
        <v>284</v>
      </c>
      <c r="W101" s="23"/>
      <c r="X101"/>
      <c r="Y101"/>
    </row>
    <row r="102" spans="1:29" ht="15.75" x14ac:dyDescent="0.25">
      <c r="B102" s="56" t="s">
        <v>223</v>
      </c>
      <c r="C102" s="42">
        <v>3968</v>
      </c>
      <c r="D102" s="43" t="s">
        <v>10</v>
      </c>
      <c r="E102" s="42" t="s">
        <v>224</v>
      </c>
      <c r="F102" s="43" t="s">
        <v>39</v>
      </c>
      <c r="G102" s="45" t="s">
        <v>12</v>
      </c>
      <c r="H102" s="57"/>
      <c r="I102" s="57" t="s">
        <v>309</v>
      </c>
      <c r="J102" s="45" t="s">
        <v>376</v>
      </c>
      <c r="K102" s="45" t="s">
        <v>311</v>
      </c>
      <c r="L102" s="45" t="s">
        <v>311</v>
      </c>
      <c r="M102" s="45" t="s">
        <v>311</v>
      </c>
      <c r="N102" s="45" t="s">
        <v>311</v>
      </c>
      <c r="O102" s="45"/>
      <c r="P102" s="58"/>
      <c r="Q102" s="57" t="s">
        <v>290</v>
      </c>
      <c r="R102" s="63"/>
      <c r="S102" s="63"/>
      <c r="T102" s="63"/>
      <c r="U102" s="23" t="s">
        <v>283</v>
      </c>
      <c r="V102" s="23" t="s">
        <v>284</v>
      </c>
      <c r="W102" s="63"/>
      <c r="Z102" s="2" t="s">
        <v>295</v>
      </c>
    </row>
    <row r="103" spans="1:29" ht="15.75" x14ac:dyDescent="0.25">
      <c r="B103" s="56" t="s">
        <v>225</v>
      </c>
      <c r="C103" s="42">
        <v>4700</v>
      </c>
      <c r="D103" s="43" t="s">
        <v>10</v>
      </c>
      <c r="E103" s="42" t="s">
        <v>226</v>
      </c>
      <c r="F103" s="43" t="s">
        <v>15</v>
      </c>
      <c r="G103" s="45" t="s">
        <v>12</v>
      </c>
      <c r="H103" s="57" t="s">
        <v>491</v>
      </c>
      <c r="I103" s="57" t="s">
        <v>309</v>
      </c>
      <c r="J103" s="45" t="s">
        <v>492</v>
      </c>
      <c r="K103" s="45" t="s">
        <v>311</v>
      </c>
      <c r="L103" s="45" t="s">
        <v>311</v>
      </c>
      <c r="M103" s="45" t="s">
        <v>311</v>
      </c>
      <c r="N103" s="45" t="s">
        <v>311</v>
      </c>
      <c r="O103" s="45"/>
      <c r="P103" s="58"/>
      <c r="Q103" s="59"/>
      <c r="R103" s="23"/>
      <c r="S103" s="23"/>
      <c r="T103" s="23"/>
      <c r="U103" s="23" t="s">
        <v>283</v>
      </c>
      <c r="V103" s="23" t="s">
        <v>284</v>
      </c>
      <c r="W103" s="23"/>
      <c r="X103"/>
      <c r="Y103"/>
    </row>
    <row r="104" spans="1:29" ht="195" x14ac:dyDescent="0.25">
      <c r="B104" s="41" t="s">
        <v>227</v>
      </c>
      <c r="C104" s="42">
        <v>8803</v>
      </c>
      <c r="D104" s="43" t="s">
        <v>10</v>
      </c>
      <c r="E104" s="42" t="s">
        <v>228</v>
      </c>
      <c r="F104" s="43" t="s">
        <v>15</v>
      </c>
      <c r="G104" s="44" t="s">
        <v>12</v>
      </c>
      <c r="H104" s="43" t="s">
        <v>491</v>
      </c>
      <c r="I104" s="43" t="s">
        <v>281</v>
      </c>
      <c r="J104" s="44"/>
      <c r="K104" s="44" t="s">
        <v>311</v>
      </c>
      <c r="L104" s="43" t="s">
        <v>311</v>
      </c>
      <c r="M104" s="43" t="s">
        <v>311</v>
      </c>
      <c r="N104" s="43"/>
      <c r="O104" s="44"/>
      <c r="P104" s="46" t="s">
        <v>493</v>
      </c>
      <c r="Q104" s="70" t="s">
        <v>290</v>
      </c>
      <c r="R104" s="2"/>
      <c r="S104" s="2" t="s">
        <v>292</v>
      </c>
      <c r="T104" s="2"/>
      <c r="U104" s="84" t="s">
        <v>494</v>
      </c>
      <c r="V104" s="51" t="s">
        <v>495</v>
      </c>
      <c r="W104" s="1" t="s">
        <v>293</v>
      </c>
      <c r="X104" s="2" t="s">
        <v>294</v>
      </c>
      <c r="Y104" s="1" t="s">
        <v>294</v>
      </c>
      <c r="Z104" s="2" t="s">
        <v>295</v>
      </c>
      <c r="AC104" s="54" t="s">
        <v>496</v>
      </c>
    </row>
    <row r="105" spans="1:29" ht="120" x14ac:dyDescent="0.25">
      <c r="A105" t="s">
        <v>314</v>
      </c>
      <c r="B105" s="41" t="s">
        <v>230</v>
      </c>
      <c r="C105" s="42">
        <v>8804</v>
      </c>
      <c r="D105" s="43" t="s">
        <v>10</v>
      </c>
      <c r="E105" s="42" t="s">
        <v>231</v>
      </c>
      <c r="F105" s="43" t="s">
        <v>11</v>
      </c>
      <c r="G105" s="44" t="s">
        <v>12</v>
      </c>
      <c r="H105" s="43" t="s">
        <v>491</v>
      </c>
      <c r="I105" s="43"/>
      <c r="J105" s="44">
        <v>46062</v>
      </c>
      <c r="K105" s="44" t="s">
        <v>311</v>
      </c>
      <c r="L105" s="43" t="s">
        <v>311</v>
      </c>
      <c r="M105" s="43" t="s">
        <v>311</v>
      </c>
      <c r="N105" s="43"/>
      <c r="O105" s="44"/>
      <c r="P105" s="50" t="s">
        <v>497</v>
      </c>
      <c r="Q105" s="70" t="s">
        <v>290</v>
      </c>
      <c r="R105" s="2"/>
      <c r="S105" s="2" t="s">
        <v>292</v>
      </c>
      <c r="T105" s="2"/>
      <c r="U105" s="1" t="s">
        <v>498</v>
      </c>
      <c r="V105" s="2"/>
      <c r="W105" s="2" t="s">
        <v>293</v>
      </c>
      <c r="X105" s="2" t="s">
        <v>294</v>
      </c>
      <c r="Y105" s="1" t="s">
        <v>294</v>
      </c>
      <c r="Z105" s="2" t="s">
        <v>295</v>
      </c>
    </row>
    <row r="106" spans="1:29" ht="15.75" x14ac:dyDescent="0.25">
      <c r="B106" s="56" t="s">
        <v>232</v>
      </c>
      <c r="C106" s="42">
        <v>5553</v>
      </c>
      <c r="D106" s="43" t="s">
        <v>10</v>
      </c>
      <c r="E106" s="42" t="s">
        <v>233</v>
      </c>
      <c r="F106" s="43" t="s">
        <v>18</v>
      </c>
      <c r="G106" s="45" t="s">
        <v>19</v>
      </c>
      <c r="H106" s="57"/>
      <c r="I106" s="57" t="s">
        <v>309</v>
      </c>
      <c r="J106" s="45" t="s">
        <v>310</v>
      </c>
      <c r="K106" s="45" t="s">
        <v>311</v>
      </c>
      <c r="L106" s="45" t="s">
        <v>311</v>
      </c>
      <c r="M106" s="45" t="s">
        <v>311</v>
      </c>
      <c r="N106" s="45" t="s">
        <v>311</v>
      </c>
      <c r="O106" s="45"/>
      <c r="P106" s="58"/>
      <c r="Q106" s="59"/>
      <c r="R106" s="23"/>
      <c r="S106" s="23"/>
      <c r="T106" s="23"/>
      <c r="U106" s="23" t="s">
        <v>283</v>
      </c>
      <c r="V106" s="23" t="s">
        <v>284</v>
      </c>
      <c r="W106" s="23"/>
      <c r="X106"/>
      <c r="Y106"/>
    </row>
    <row r="107" spans="1:29" ht="15.75" x14ac:dyDescent="0.25">
      <c r="B107" s="56" t="s">
        <v>234</v>
      </c>
      <c r="C107" s="42">
        <v>8405</v>
      </c>
      <c r="D107" s="43" t="s">
        <v>22</v>
      </c>
      <c r="E107" s="42" t="s">
        <v>235</v>
      </c>
      <c r="F107" s="43" t="s">
        <v>32</v>
      </c>
      <c r="G107" s="45" t="s">
        <v>19</v>
      </c>
      <c r="H107" s="57"/>
      <c r="I107" s="57" t="s">
        <v>309</v>
      </c>
      <c r="J107" s="45" t="s">
        <v>382</v>
      </c>
      <c r="K107" s="45" t="s">
        <v>311</v>
      </c>
      <c r="L107" s="45" t="s">
        <v>311</v>
      </c>
      <c r="M107" s="45" t="s">
        <v>311</v>
      </c>
      <c r="N107" s="45" t="s">
        <v>311</v>
      </c>
      <c r="O107" s="45"/>
      <c r="P107" s="58"/>
      <c r="Q107" s="59"/>
      <c r="R107" s="23"/>
      <c r="S107" s="23"/>
      <c r="T107" s="23"/>
      <c r="U107" s="23" t="s">
        <v>283</v>
      </c>
      <c r="V107" s="23" t="s">
        <v>284</v>
      </c>
      <c r="W107" s="23"/>
      <c r="X107"/>
      <c r="Y107"/>
    </row>
    <row r="108" spans="1:29" ht="15.75" x14ac:dyDescent="0.25">
      <c r="B108" s="56" t="s">
        <v>236</v>
      </c>
      <c r="C108" s="42">
        <v>8827</v>
      </c>
      <c r="D108" s="43" t="s">
        <v>10</v>
      </c>
      <c r="E108" s="42" t="s">
        <v>237</v>
      </c>
      <c r="F108" s="43" t="s">
        <v>15</v>
      </c>
      <c r="G108" s="45" t="s">
        <v>12</v>
      </c>
      <c r="H108" s="57"/>
      <c r="I108" s="57" t="s">
        <v>309</v>
      </c>
      <c r="J108" s="45" t="s">
        <v>499</v>
      </c>
      <c r="K108" s="45" t="s">
        <v>311</v>
      </c>
      <c r="L108" s="45" t="s">
        <v>311</v>
      </c>
      <c r="M108" s="45" t="s">
        <v>311</v>
      </c>
      <c r="N108" s="45" t="s">
        <v>311</v>
      </c>
      <c r="O108" s="45"/>
      <c r="P108" s="58"/>
      <c r="Q108" s="59"/>
      <c r="R108" s="23"/>
      <c r="S108" s="23"/>
      <c r="T108" s="23"/>
      <c r="U108" s="23" t="s">
        <v>283</v>
      </c>
      <c r="V108" s="23" t="s">
        <v>284</v>
      </c>
      <c r="W108" s="23"/>
      <c r="X108"/>
      <c r="Y108"/>
    </row>
    <row r="109" spans="1:29" ht="195" x14ac:dyDescent="0.25">
      <c r="B109" s="49" t="s">
        <v>238</v>
      </c>
      <c r="C109" s="42">
        <v>1813</v>
      </c>
      <c r="D109" s="43" t="s">
        <v>22</v>
      </c>
      <c r="E109" s="42" t="s">
        <v>239</v>
      </c>
      <c r="F109" s="43" t="s">
        <v>55</v>
      </c>
      <c r="G109" s="44" t="s">
        <v>19</v>
      </c>
      <c r="H109" s="43" t="s">
        <v>335</v>
      </c>
      <c r="I109" s="43" t="s">
        <v>309</v>
      </c>
      <c r="J109" s="44" t="s">
        <v>500</v>
      </c>
      <c r="K109" s="80" t="s">
        <v>501</v>
      </c>
      <c r="L109" s="43" t="s">
        <v>311</v>
      </c>
      <c r="M109" s="43" t="s">
        <v>311</v>
      </c>
      <c r="N109" s="43"/>
      <c r="O109" s="44"/>
      <c r="P109" s="50" t="s">
        <v>502</v>
      </c>
      <c r="Q109" s="43" t="s">
        <v>290</v>
      </c>
      <c r="U109" s="51" t="s">
        <v>503</v>
      </c>
      <c r="V109" s="51" t="s">
        <v>292</v>
      </c>
      <c r="W109" s="1" t="s">
        <v>338</v>
      </c>
      <c r="X109" s="1" t="s">
        <v>294</v>
      </c>
      <c r="Y109" s="1" t="s">
        <v>294</v>
      </c>
      <c r="AA109" s="34" t="s">
        <v>504</v>
      </c>
      <c r="AC109" s="54" t="s">
        <v>505</v>
      </c>
    </row>
    <row r="110" spans="1:29" ht="195" x14ac:dyDescent="0.25">
      <c r="B110" s="49" t="s">
        <v>240</v>
      </c>
      <c r="C110" s="42">
        <v>649</v>
      </c>
      <c r="D110" s="43" t="s">
        <v>22</v>
      </c>
      <c r="E110" s="42" t="s">
        <v>241</v>
      </c>
      <c r="F110" s="43" t="s">
        <v>55</v>
      </c>
      <c r="G110" s="44" t="s">
        <v>19</v>
      </c>
      <c r="H110" s="43" t="s">
        <v>335</v>
      </c>
      <c r="I110" s="43" t="s">
        <v>309</v>
      </c>
      <c r="J110" s="44" t="s">
        <v>366</v>
      </c>
      <c r="K110" s="80" t="s">
        <v>442</v>
      </c>
      <c r="L110" s="44">
        <v>46009</v>
      </c>
      <c r="M110" s="43" t="s">
        <v>311</v>
      </c>
      <c r="N110" s="43"/>
      <c r="O110" s="44"/>
      <c r="P110" s="50" t="s">
        <v>506</v>
      </c>
      <c r="Q110" s="43" t="s">
        <v>290</v>
      </c>
      <c r="U110" s="51" t="s">
        <v>503</v>
      </c>
      <c r="V110" s="51" t="s">
        <v>292</v>
      </c>
      <c r="W110" s="1" t="s">
        <v>338</v>
      </c>
      <c r="X110" s="1" t="s">
        <v>294</v>
      </c>
      <c r="Y110" s="1" t="s">
        <v>294</v>
      </c>
      <c r="Z110" s="2" t="s">
        <v>295</v>
      </c>
      <c r="AA110" s="34" t="s">
        <v>507</v>
      </c>
      <c r="AC110" s="54" t="s">
        <v>508</v>
      </c>
    </row>
    <row r="111" spans="1:29" ht="90" x14ac:dyDescent="0.25">
      <c r="B111" s="60" t="s">
        <v>242</v>
      </c>
      <c r="C111" s="42">
        <v>8470</v>
      </c>
      <c r="D111" s="43" t="s">
        <v>10</v>
      </c>
      <c r="E111" s="42" t="s">
        <v>243</v>
      </c>
      <c r="F111" s="43" t="s">
        <v>62</v>
      </c>
      <c r="G111" s="44" t="s">
        <v>36</v>
      </c>
      <c r="H111" s="43" t="s">
        <v>353</v>
      </c>
      <c r="I111" s="43" t="s">
        <v>281</v>
      </c>
      <c r="J111" s="61">
        <v>46010</v>
      </c>
      <c r="K111" s="44" t="s">
        <v>509</v>
      </c>
      <c r="L111" s="44">
        <v>46045</v>
      </c>
      <c r="M111" s="43"/>
      <c r="N111" s="43"/>
      <c r="O111" s="44"/>
      <c r="P111" s="50" t="s">
        <v>510</v>
      </c>
      <c r="Q111" s="43" t="s">
        <v>290</v>
      </c>
      <c r="R111" s="43"/>
      <c r="S111" s="43"/>
      <c r="T111" s="43"/>
      <c r="U111" s="69" t="s">
        <v>511</v>
      </c>
      <c r="V111" s="43"/>
      <c r="W111" s="43" t="s">
        <v>293</v>
      </c>
      <c r="X111" s="43"/>
      <c r="Y111" s="43" t="s">
        <v>294</v>
      </c>
      <c r="Z111" s="70" t="s">
        <v>295</v>
      </c>
      <c r="AA111" s="78" t="s">
        <v>512</v>
      </c>
      <c r="AB111" s="47" t="s">
        <v>398</v>
      </c>
      <c r="AC111" s="54" t="s">
        <v>513</v>
      </c>
    </row>
    <row r="112" spans="1:29" ht="15.75" x14ac:dyDescent="0.25">
      <c r="B112" s="56" t="s">
        <v>244</v>
      </c>
      <c r="C112" s="42">
        <v>8475</v>
      </c>
      <c r="D112" s="43" t="s">
        <v>22</v>
      </c>
      <c r="E112" s="42" t="s">
        <v>245</v>
      </c>
      <c r="F112" s="43" t="s">
        <v>23</v>
      </c>
      <c r="G112" s="45" t="s">
        <v>19</v>
      </c>
      <c r="H112" s="57"/>
      <c r="I112" s="57" t="s">
        <v>309</v>
      </c>
      <c r="J112" s="45" t="s">
        <v>359</v>
      </c>
      <c r="K112" s="45" t="s">
        <v>311</v>
      </c>
      <c r="L112" s="45" t="s">
        <v>311</v>
      </c>
      <c r="M112" s="45" t="s">
        <v>311</v>
      </c>
      <c r="N112" s="45" t="s">
        <v>311</v>
      </c>
      <c r="O112" s="45"/>
      <c r="P112" s="58"/>
      <c r="Q112" s="59"/>
      <c r="R112" s="23"/>
      <c r="S112" s="23"/>
      <c r="T112" s="23"/>
      <c r="U112" s="23" t="s">
        <v>283</v>
      </c>
      <c r="V112" s="23" t="s">
        <v>284</v>
      </c>
      <c r="W112" s="23"/>
      <c r="X112"/>
      <c r="Y112"/>
    </row>
    <row r="113" spans="2:29" ht="150" x14ac:dyDescent="0.25">
      <c r="B113" s="64" t="s">
        <v>246</v>
      </c>
      <c r="C113" s="42">
        <v>5319</v>
      </c>
      <c r="D113" s="43" t="s">
        <v>10</v>
      </c>
      <c r="E113" s="42" t="s">
        <v>247</v>
      </c>
      <c r="F113" s="43" t="s">
        <v>44</v>
      </c>
      <c r="G113" s="44" t="s">
        <v>45</v>
      </c>
      <c r="H113" s="43" t="s">
        <v>324</v>
      </c>
      <c r="I113" s="43"/>
      <c r="J113" s="61"/>
      <c r="K113" s="44" t="s">
        <v>290</v>
      </c>
      <c r="L113" s="43"/>
      <c r="M113" s="43"/>
      <c r="N113" s="44">
        <v>46175</v>
      </c>
      <c r="O113" s="44"/>
      <c r="P113" s="85" t="s">
        <v>514</v>
      </c>
      <c r="Q113" s="43" t="s">
        <v>290</v>
      </c>
      <c r="S113" s="1" t="s">
        <v>515</v>
      </c>
      <c r="T113" s="1" t="s">
        <v>326</v>
      </c>
      <c r="U113" s="51" t="s">
        <v>327</v>
      </c>
      <c r="W113" s="1" t="s">
        <v>293</v>
      </c>
      <c r="X113" s="1" t="s">
        <v>406</v>
      </c>
      <c r="Y113" s="1" t="s">
        <v>294</v>
      </c>
      <c r="Z113" s="2" t="s">
        <v>294</v>
      </c>
      <c r="AC113" s="54" t="s">
        <v>516</v>
      </c>
    </row>
    <row r="114" spans="2:29" ht="15.75" x14ac:dyDescent="0.25">
      <c r="B114" s="56" t="s">
        <v>248</v>
      </c>
      <c r="C114" s="42">
        <v>5549</v>
      </c>
      <c r="D114" s="43" t="s">
        <v>22</v>
      </c>
      <c r="E114" s="42" t="s">
        <v>249</v>
      </c>
      <c r="F114" s="43" t="s">
        <v>55</v>
      </c>
      <c r="G114" s="45" t="s">
        <v>19</v>
      </c>
      <c r="H114" s="57"/>
      <c r="I114" s="57" t="s">
        <v>309</v>
      </c>
      <c r="J114" s="45" t="s">
        <v>418</v>
      </c>
      <c r="K114" s="45" t="s">
        <v>311</v>
      </c>
      <c r="L114" s="45" t="s">
        <v>311</v>
      </c>
      <c r="M114" s="45" t="s">
        <v>311</v>
      </c>
      <c r="N114" s="45" t="s">
        <v>311</v>
      </c>
      <c r="O114" s="45"/>
      <c r="P114" s="58"/>
      <c r="Q114" s="59"/>
      <c r="R114" s="23"/>
      <c r="S114" s="23"/>
      <c r="T114" s="23"/>
      <c r="U114" s="23" t="s">
        <v>283</v>
      </c>
      <c r="V114" s="23" t="s">
        <v>284</v>
      </c>
      <c r="W114" s="23"/>
      <c r="X114"/>
      <c r="Y114"/>
    </row>
    <row r="115" spans="2:29" ht="150" x14ac:dyDescent="0.25">
      <c r="B115" s="60" t="s">
        <v>250</v>
      </c>
      <c r="C115" s="42">
        <v>4807</v>
      </c>
      <c r="D115" s="43" t="s">
        <v>10</v>
      </c>
      <c r="E115" s="42" t="s">
        <v>251</v>
      </c>
      <c r="F115" s="43" t="s">
        <v>50</v>
      </c>
      <c r="G115" s="44" t="s">
        <v>36</v>
      </c>
      <c r="H115" s="43" t="s">
        <v>346</v>
      </c>
      <c r="I115" s="43" t="s">
        <v>281</v>
      </c>
      <c r="J115" s="61">
        <v>46045</v>
      </c>
      <c r="K115" s="44" t="s">
        <v>290</v>
      </c>
      <c r="L115" s="80" t="s">
        <v>517</v>
      </c>
      <c r="M115" s="43"/>
      <c r="N115" s="44">
        <v>46052</v>
      </c>
      <c r="O115" s="44"/>
      <c r="P115" s="62" t="s">
        <v>518</v>
      </c>
      <c r="Q115" s="43" t="s">
        <v>290</v>
      </c>
      <c r="R115" s="43"/>
      <c r="S115" s="43"/>
      <c r="T115" s="43"/>
      <c r="U115" s="69" t="s">
        <v>519</v>
      </c>
      <c r="V115" s="43"/>
      <c r="W115" s="43" t="s">
        <v>293</v>
      </c>
      <c r="X115" s="43"/>
      <c r="Y115" s="43" t="s">
        <v>294</v>
      </c>
      <c r="Z115" s="70" t="s">
        <v>295</v>
      </c>
      <c r="AA115" s="71" t="s">
        <v>520</v>
      </c>
      <c r="AB115" s="47"/>
      <c r="AC115" s="54" t="s">
        <v>521</v>
      </c>
    </row>
    <row r="116" spans="2:29" ht="15.75" x14ac:dyDescent="0.25">
      <c r="B116" s="56" t="s">
        <v>252</v>
      </c>
      <c r="C116" s="42">
        <v>5520</v>
      </c>
      <c r="D116" s="43" t="s">
        <v>22</v>
      </c>
      <c r="E116" s="42" t="s">
        <v>253</v>
      </c>
      <c r="F116" s="43" t="s">
        <v>55</v>
      </c>
      <c r="G116" s="45" t="s">
        <v>19</v>
      </c>
      <c r="H116" s="57"/>
      <c r="I116" s="57" t="s">
        <v>309</v>
      </c>
      <c r="J116" s="45" t="s">
        <v>418</v>
      </c>
      <c r="K116" s="45" t="s">
        <v>311</v>
      </c>
      <c r="L116" s="45" t="s">
        <v>311</v>
      </c>
      <c r="M116" s="45" t="s">
        <v>311</v>
      </c>
      <c r="N116" s="45" t="s">
        <v>311</v>
      </c>
      <c r="O116" s="45"/>
      <c r="P116" s="58"/>
      <c r="Q116" s="59"/>
      <c r="R116" s="23"/>
      <c r="S116" s="23"/>
      <c r="T116" s="23"/>
      <c r="U116" s="23" t="s">
        <v>283</v>
      </c>
      <c r="V116" s="23" t="s">
        <v>284</v>
      </c>
      <c r="W116" s="23"/>
      <c r="X116"/>
      <c r="Y116"/>
    </row>
    <row r="117" spans="2:29" x14ac:dyDescent="0.25">
      <c r="F117" s="2"/>
      <c r="H117" s="2"/>
      <c r="I117" s="2"/>
      <c r="L117" s="2"/>
      <c r="M117" s="2"/>
      <c r="N117" s="2"/>
      <c r="Q117"/>
      <c r="R117"/>
      <c r="S117"/>
      <c r="T117"/>
      <c r="U117"/>
      <c r="V117"/>
      <c r="W117"/>
      <c r="X117"/>
      <c r="Y117"/>
    </row>
    <row r="118" spans="2:29" x14ac:dyDescent="0.25">
      <c r="Q118"/>
      <c r="R118"/>
      <c r="S118"/>
      <c r="T118"/>
      <c r="U118"/>
      <c r="V118"/>
      <c r="W118"/>
      <c r="X118"/>
      <c r="Y118"/>
    </row>
    <row r="119" spans="2:29" x14ac:dyDescent="0.25">
      <c r="Q119"/>
      <c r="R119"/>
      <c r="S119"/>
      <c r="T119"/>
      <c r="U119"/>
      <c r="V119"/>
      <c r="W119"/>
      <c r="X119"/>
      <c r="Y119"/>
    </row>
    <row r="120" spans="2:29" x14ac:dyDescent="0.25">
      <c r="F120" s="2"/>
      <c r="H120" s="2"/>
      <c r="I120" s="2"/>
      <c r="L120" s="2"/>
      <c r="M120" s="2"/>
      <c r="N120" s="2"/>
      <c r="P120" s="1"/>
      <c r="Q120"/>
      <c r="R120"/>
      <c r="S120"/>
      <c r="T120"/>
      <c r="U120"/>
      <c r="V120"/>
      <c r="W120"/>
      <c r="X120"/>
      <c r="Y120"/>
    </row>
    <row r="121" spans="2:29" x14ac:dyDescent="0.25">
      <c r="F121" s="2"/>
      <c r="H121" s="2"/>
      <c r="I121" s="2"/>
      <c r="L121" s="2"/>
      <c r="M121" s="2"/>
      <c r="N121" s="2"/>
    </row>
    <row r="122" spans="2:29" x14ac:dyDescent="0.25">
      <c r="F122" s="1"/>
      <c r="G122"/>
      <c r="H122" s="1"/>
      <c r="I122" s="2"/>
    </row>
  </sheetData>
  <autoFilter ref="B4:AD116" xr:uid="{00000000-0001-0000-0000-000000000000}"/>
  <hyperlinks>
    <hyperlink ref="AC8" r:id="rId1" xr:uid="{2B1BE3AA-313F-4638-A9CD-59F6E8692E9A}"/>
    <hyperlink ref="AC7" r:id="rId2" display="Dale.Robb@education.vic.gov.au" xr:uid="{478F1709-F412-47AE-8C52-D1EF07744235}"/>
    <hyperlink ref="AD7" r:id="rId3" xr:uid="{86604022-165A-4ED6-A368-D2E7853CFD50}"/>
    <hyperlink ref="AC13" r:id="rId4" xr:uid="{9A3BFF5B-345D-4D88-976D-C8D698C625AD}"/>
    <hyperlink ref="AC18" r:id="rId5" display="harold.cheung@education.vic.gov.au" xr:uid="{572081B7-B398-43A2-9C68-6371F935186C}"/>
    <hyperlink ref="AC21" r:id="rId6" display="john.webb3@education.vic.gov.au" xr:uid="{C3B3956F-6C06-4B16-960A-FB659AE7C910}"/>
    <hyperlink ref="AC22" r:id="rId7" xr:uid="{7CD74C7F-013C-4F9B-B90B-7C147BA0A027}"/>
    <hyperlink ref="AC26" r:id="rId8" xr:uid="{246A9EA6-8C2E-4383-A0E8-CF20A6D0B86A}"/>
    <hyperlink ref="AC31" r:id="rId9" xr:uid="{C890A448-16EE-4543-A0E0-4C523EEA56AD}"/>
    <hyperlink ref="AC35" r:id="rId10" xr:uid="{A03F58D5-DDF8-4060-BCA1-222080FC1E1C}"/>
    <hyperlink ref="AC51" r:id="rId11" xr:uid="{57F54033-AC8C-4F3A-815C-9572ECF8888E}"/>
    <hyperlink ref="AC53" r:id="rId12" display="David.Geddes@education.vic.gov.au" xr:uid="{7D44770B-9F3A-4B0D-9C96-5A40E61298D2}"/>
    <hyperlink ref="AC59" r:id="rId13" xr:uid="{073D28D1-0144-4080-9135-C6D53B8E4D91}"/>
    <hyperlink ref="AC63" r:id="rId14" xr:uid="{1A90BFF8-DAD3-485E-9A20-C85886007303}"/>
    <hyperlink ref="AC64" r:id="rId15" xr:uid="{B7B83E3F-D818-4FBE-B638-B5B1801A007E}"/>
    <hyperlink ref="AC66" r:id="rId16" xr:uid="{93B0C6A5-A644-4288-A83D-3897630A060F}"/>
    <hyperlink ref="AC68" r:id="rId17" xr:uid="{757FC826-2F2B-4240-9DD6-1701E3A90685}"/>
    <hyperlink ref="AC74" r:id="rId18" xr:uid="{81186FB5-84CB-42AD-9F16-CBD1D8903A5C}"/>
    <hyperlink ref="AC80" r:id="rId19" xr:uid="{BB4D3C40-5163-436B-A314-46F261FC5388}"/>
    <hyperlink ref="AC81" r:id="rId20" xr:uid="{6DB6A9DB-B2A0-4195-B857-3100572471E6}"/>
    <hyperlink ref="AC85" r:id="rId21" xr:uid="{3D564C11-DF42-4D74-9DEB-FA88386D7D1E}"/>
    <hyperlink ref="AC96" r:id="rId22" xr:uid="{4B9FB130-3204-4BA4-A53A-7D57BA2A21B6}"/>
    <hyperlink ref="AC99" r:id="rId23" xr:uid="{FEDA9682-ABE8-4B1C-926C-D7B41A8F816F}"/>
    <hyperlink ref="AC104" r:id="rId24" xr:uid="{C5070387-23BD-46D0-8F4C-33E07F697188}"/>
    <hyperlink ref="AC109" r:id="rId25" xr:uid="{19ECAB9A-A435-466C-8836-EDA6B8EFB227}"/>
    <hyperlink ref="AC110" r:id="rId26" xr:uid="{C40792ED-60D6-41C2-B7F8-B8AB810D2EAF}"/>
    <hyperlink ref="AC111" r:id="rId27" xr:uid="{2A5DFA24-3670-4B54-9E8B-65DD72A235BC}"/>
    <hyperlink ref="AC113" r:id="rId28" xr:uid="{7BF589C4-E4DD-40C4-9BD2-8614545AF9CA}"/>
    <hyperlink ref="AC115" r:id="rId29" xr:uid="{8B764797-AEC0-4E1F-9123-A519CD00BA05}"/>
    <hyperlink ref="AE21" r:id="rId30" display="patrick@bowdencorp.com.au" xr:uid="{E28B7257-5613-4F2B-86F6-2C3CE101BCFC}"/>
  </hyperlinks>
  <pageMargins left="0.7" right="0.7" top="0.75" bottom="0.75" header="0.3" footer="0.3"/>
  <pageSetup paperSize="9" orientation="portrait" verticalDpi="360" r:id="rId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Projects</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Gerges</dc:creator>
  <cp:lastModifiedBy>Andrew Gerges</cp:lastModifiedBy>
  <dcterms:created xsi:type="dcterms:W3CDTF">2026-03-27T08:08:52Z</dcterms:created>
  <dcterms:modified xsi:type="dcterms:W3CDTF">2026-03-27T09:35:44Z</dcterms:modified>
</cp:coreProperties>
</file>